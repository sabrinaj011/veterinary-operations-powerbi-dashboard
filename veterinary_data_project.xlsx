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f4fadd4fc84887a/Desktop/Data Project/"/>
    </mc:Choice>
  </mc:AlternateContent>
  <xr:revisionPtr revIDLastSave="953" documentId="8_{C443A14E-A485-4E3F-9642-311A176FEB96}" xr6:coauthVersionLast="47" xr6:coauthVersionMax="47" xr10:uidLastSave="{B9F669D1-6FC6-4ECE-BFBB-316C95E3E833}"/>
  <bookViews>
    <workbookView xWindow="-108" yWindow="-108" windowWidth="23256" windowHeight="12456" firstSheet="4" activeTab="4" xr2:uid="{00000000-000D-0000-FFFF-FFFF00000000}"/>
  </bookViews>
  <sheets>
    <sheet name="Veterinary Clinic Dashboard" sheetId="5" r:id="rId1"/>
    <sheet name="Data Cleaning Notes" sheetId="6" r:id="rId2"/>
    <sheet name="Visits_Clean" sheetId="4" r:id="rId3"/>
    <sheet name="Sheet2" sheetId="8" r:id="rId4"/>
    <sheet name="Visits Cleaned" sheetId="7" r:id="rId5"/>
    <sheet name="Visits" sheetId="1" r:id="rId6"/>
    <sheet name="Owners" sheetId="2" r:id="rId7"/>
    <sheet name="Charge_Reference" sheetId="3" r:id="rId8"/>
  </sheets>
  <definedNames>
    <definedName name="_xlchart.v1.0" hidden="1">'Visits Cleaned'!$J$2:$J$501</definedName>
    <definedName name="Slicer_Clinic_Location">#N/A</definedName>
  </definedNames>
  <calcPr calcId="191028"/>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7" l="1"/>
  <c r="L2" i="7" s="1"/>
  <c r="I3" i="7"/>
  <c r="L3" i="7" s="1"/>
  <c r="I4" i="7"/>
  <c r="L4" i="7" s="1"/>
  <c r="I5" i="7"/>
  <c r="L5" i="7" s="1"/>
  <c r="I6" i="7"/>
  <c r="L6" i="7" s="1"/>
  <c r="I7" i="7"/>
  <c r="I8" i="7"/>
  <c r="L8" i="7" s="1"/>
  <c r="I9" i="7"/>
  <c r="L9" i="7" s="1"/>
  <c r="I10" i="7"/>
  <c r="L10" i="7" s="1"/>
  <c r="I11" i="7"/>
  <c r="L11" i="7" s="1"/>
  <c r="I12" i="7"/>
  <c r="L12" i="7" s="1"/>
  <c r="I13" i="7"/>
  <c r="L13" i="7" s="1"/>
  <c r="I14" i="7"/>
  <c r="L14" i="7" s="1"/>
  <c r="I15" i="7"/>
  <c r="L15" i="7" s="1"/>
  <c r="I16" i="7"/>
  <c r="L16" i="7" s="1"/>
  <c r="I17" i="7"/>
  <c r="L17" i="7" s="1"/>
  <c r="I18" i="7"/>
  <c r="L18" i="7" s="1"/>
  <c r="I19" i="7"/>
  <c r="L19" i="7" s="1"/>
  <c r="I20" i="7"/>
  <c r="L20" i="7" s="1"/>
  <c r="I21" i="7"/>
  <c r="L21" i="7" s="1"/>
  <c r="I22" i="7"/>
  <c r="I23" i="7"/>
  <c r="I24" i="7"/>
  <c r="L24" i="7" s="1"/>
  <c r="I25" i="7"/>
  <c r="I26" i="7"/>
  <c r="I27" i="7"/>
  <c r="I28" i="7"/>
  <c r="I29" i="7"/>
  <c r="L29" i="7" s="1"/>
  <c r="I30" i="7"/>
  <c r="L30" i="7" s="1"/>
  <c r="I31" i="7"/>
  <c r="L31" i="7" s="1"/>
  <c r="I32" i="7"/>
  <c r="L32" i="7" s="1"/>
  <c r="I33" i="7"/>
  <c r="L33" i="7" s="1"/>
  <c r="I34" i="7"/>
  <c r="L34" i="7" s="1"/>
  <c r="I35" i="7"/>
  <c r="L35" i="7" s="1"/>
  <c r="I36" i="7"/>
  <c r="L36" i="7" s="1"/>
  <c r="I37" i="7"/>
  <c r="L37" i="7" s="1"/>
  <c r="I38" i="7"/>
  <c r="L38" i="7" s="1"/>
  <c r="I39" i="7"/>
  <c r="I40" i="7"/>
  <c r="L40" i="7" s="1"/>
  <c r="I41" i="7"/>
  <c r="L41" i="7" s="1"/>
  <c r="I42" i="7"/>
  <c r="L42" i="7" s="1"/>
  <c r="I43" i="7"/>
  <c r="L43" i="7" s="1"/>
  <c r="I44" i="7"/>
  <c r="L44" i="7" s="1"/>
  <c r="I45" i="7"/>
  <c r="L45" i="7" s="1"/>
  <c r="I46" i="7"/>
  <c r="L46" i="7" s="1"/>
  <c r="I47" i="7"/>
  <c r="L47" i="7" s="1"/>
  <c r="I48" i="7"/>
  <c r="L48" i="7" s="1"/>
  <c r="I49" i="7"/>
  <c r="L49" i="7" s="1"/>
  <c r="I50" i="7"/>
  <c r="L50" i="7" s="1"/>
  <c r="I51" i="7"/>
  <c r="L51" i="7" s="1"/>
  <c r="I52" i="7"/>
  <c r="L52" i="7" s="1"/>
  <c r="I53" i="7"/>
  <c r="L53" i="7" s="1"/>
  <c r="I54" i="7"/>
  <c r="L54" i="7" s="1"/>
  <c r="I55" i="7"/>
  <c r="I56" i="7"/>
  <c r="I57" i="7"/>
  <c r="I58" i="7"/>
  <c r="I59" i="7"/>
  <c r="I60" i="7"/>
  <c r="I61" i="7"/>
  <c r="I62" i="7"/>
  <c r="I63" i="7"/>
  <c r="L63" i="7" s="1"/>
  <c r="I64" i="7"/>
  <c r="L64" i="7" s="1"/>
  <c r="I65" i="7"/>
  <c r="L65" i="7" s="1"/>
  <c r="I66" i="7"/>
  <c r="L66" i="7" s="1"/>
  <c r="I67" i="7"/>
  <c r="L67" i="7" s="1"/>
  <c r="I68" i="7"/>
  <c r="L68" i="7" s="1"/>
  <c r="I69" i="7"/>
  <c r="L69" i="7" s="1"/>
  <c r="I70" i="7"/>
  <c r="L70" i="7" s="1"/>
  <c r="I71" i="7"/>
  <c r="I72" i="7"/>
  <c r="L72" i="7" s="1"/>
  <c r="I73" i="7"/>
  <c r="L73" i="7" s="1"/>
  <c r="I74" i="7"/>
  <c r="L74" i="7" s="1"/>
  <c r="I75" i="7"/>
  <c r="L75" i="7" s="1"/>
  <c r="I76" i="7"/>
  <c r="L76" i="7" s="1"/>
  <c r="I77" i="7"/>
  <c r="L77" i="7" s="1"/>
  <c r="I78" i="7"/>
  <c r="L78" i="7" s="1"/>
  <c r="I79" i="7"/>
  <c r="L79" i="7" s="1"/>
  <c r="I80" i="7"/>
  <c r="L80" i="7" s="1"/>
  <c r="I81" i="7"/>
  <c r="L81" i="7" s="1"/>
  <c r="I82" i="7"/>
  <c r="I83" i="7"/>
  <c r="L83" i="7" s="1"/>
  <c r="I84" i="7"/>
  <c r="L84" i="7" s="1"/>
  <c r="I85" i="7"/>
  <c r="L85" i="7" s="1"/>
  <c r="I86" i="7"/>
  <c r="L86" i="7" s="1"/>
  <c r="I87" i="7"/>
  <c r="I88" i="7"/>
  <c r="L88" i="7" s="1"/>
  <c r="I89" i="7"/>
  <c r="L89" i="7" s="1"/>
  <c r="I90" i="7"/>
  <c r="I91" i="7"/>
  <c r="I92" i="7"/>
  <c r="I93" i="7"/>
  <c r="I94" i="7"/>
  <c r="I95" i="7"/>
  <c r="L95" i="7" s="1"/>
  <c r="I96" i="7"/>
  <c r="L96" i="7" s="1"/>
  <c r="I97" i="7"/>
  <c r="L97" i="7" s="1"/>
  <c r="I98" i="7"/>
  <c r="L98" i="7" s="1"/>
  <c r="I99" i="7"/>
  <c r="L99" i="7" s="1"/>
  <c r="I100" i="7"/>
  <c r="L100" i="7" s="1"/>
  <c r="I101" i="7"/>
  <c r="L101" i="7" s="1"/>
  <c r="I102" i="7"/>
  <c r="I103" i="7"/>
  <c r="I104" i="7"/>
  <c r="L104" i="7" s="1"/>
  <c r="I105" i="7"/>
  <c r="L105" i="7" s="1"/>
  <c r="I106" i="7"/>
  <c r="L106" i="7" s="1"/>
  <c r="I107" i="7"/>
  <c r="L107" i="7" s="1"/>
  <c r="I108" i="7"/>
  <c r="L108" i="7" s="1"/>
  <c r="I109" i="7"/>
  <c r="L109" i="7" s="1"/>
  <c r="I110" i="7"/>
  <c r="L110" i="7" s="1"/>
  <c r="I111" i="7"/>
  <c r="L111" i="7" s="1"/>
  <c r="I112" i="7"/>
  <c r="L112" i="7" s="1"/>
  <c r="I113" i="7"/>
  <c r="L113" i="7" s="1"/>
  <c r="I114" i="7"/>
  <c r="L114" i="7" s="1"/>
  <c r="I115" i="7"/>
  <c r="L115" i="7" s="1"/>
  <c r="I116" i="7"/>
  <c r="L116" i="7" s="1"/>
  <c r="I117" i="7"/>
  <c r="L117" i="7" s="1"/>
  <c r="I118" i="7"/>
  <c r="L118" i="7" s="1"/>
  <c r="I119" i="7"/>
  <c r="I120" i="7"/>
  <c r="I121" i="7"/>
  <c r="I122" i="7"/>
  <c r="I123" i="7"/>
  <c r="I124" i="7"/>
  <c r="I125" i="7"/>
  <c r="I126" i="7"/>
  <c r="L126" i="7" s="1"/>
  <c r="I127" i="7"/>
  <c r="L127" i="7" s="1"/>
  <c r="I128" i="7"/>
  <c r="L128" i="7" s="1"/>
  <c r="I129" i="7"/>
  <c r="L129" i="7" s="1"/>
  <c r="I130" i="7"/>
  <c r="L130" i="7" s="1"/>
  <c r="I131" i="7"/>
  <c r="L131" i="7" s="1"/>
  <c r="I132" i="7"/>
  <c r="L132" i="7" s="1"/>
  <c r="I133" i="7"/>
  <c r="L133" i="7" s="1"/>
  <c r="I134" i="7"/>
  <c r="L134" i="7" s="1"/>
  <c r="I135" i="7"/>
  <c r="I136" i="7"/>
  <c r="L136" i="7" s="1"/>
  <c r="I137" i="7"/>
  <c r="I138" i="7"/>
  <c r="I139" i="7"/>
  <c r="I140" i="7"/>
  <c r="L140" i="7" s="1"/>
  <c r="I141" i="7"/>
  <c r="L141" i="7" s="1"/>
  <c r="I142" i="7"/>
  <c r="L142" i="7" s="1"/>
  <c r="I143" i="7"/>
  <c r="L143" i="7" s="1"/>
  <c r="I144" i="7"/>
  <c r="L144" i="7" s="1"/>
  <c r="I145" i="7"/>
  <c r="L145" i="7" s="1"/>
  <c r="I146" i="7"/>
  <c r="I147" i="7"/>
  <c r="L147" i="7" s="1"/>
  <c r="I148" i="7"/>
  <c r="L148" i="7" s="1"/>
  <c r="I149" i="7"/>
  <c r="L149" i="7" s="1"/>
  <c r="I150" i="7"/>
  <c r="L150" i="7" s="1"/>
  <c r="I151" i="7"/>
  <c r="I152" i="7"/>
  <c r="L152" i="7" s="1"/>
  <c r="I153" i="7"/>
  <c r="L153" i="7" s="1"/>
  <c r="I154" i="7"/>
  <c r="L154" i="7" s="1"/>
  <c r="I155" i="7"/>
  <c r="L155" i="7" s="1"/>
  <c r="I156" i="7"/>
  <c r="L156" i="7" s="1"/>
  <c r="I157" i="7"/>
  <c r="L157" i="7" s="1"/>
  <c r="I158" i="7"/>
  <c r="L158" i="7" s="1"/>
  <c r="I159" i="7"/>
  <c r="L159" i="7" s="1"/>
  <c r="I160" i="7"/>
  <c r="L160" i="7" s="1"/>
  <c r="I161" i="7"/>
  <c r="L161" i="7" s="1"/>
  <c r="I162" i="7"/>
  <c r="L162" i="7" s="1"/>
  <c r="I163" i="7"/>
  <c r="L163" i="7" s="1"/>
  <c r="I164" i="7"/>
  <c r="L164" i="7" s="1"/>
  <c r="I165" i="7"/>
  <c r="I166" i="7"/>
  <c r="I167" i="7"/>
  <c r="I168" i="7"/>
  <c r="L168" i="7" s="1"/>
  <c r="I169" i="7"/>
  <c r="I170" i="7"/>
  <c r="I171" i="7"/>
  <c r="L171" i="7" s="1"/>
  <c r="I172" i="7"/>
  <c r="L172" i="7" s="1"/>
  <c r="I173" i="7"/>
  <c r="L173" i="7" s="1"/>
  <c r="I174" i="7"/>
  <c r="L174" i="7" s="1"/>
  <c r="I175" i="7"/>
  <c r="L175" i="7" s="1"/>
  <c r="I176" i="7"/>
  <c r="L176" i="7" s="1"/>
  <c r="I177" i="7"/>
  <c r="L177" i="7" s="1"/>
  <c r="I178" i="7"/>
  <c r="L178" i="7" s="1"/>
  <c r="I179" i="7"/>
  <c r="L179" i="7" s="1"/>
  <c r="I180" i="7"/>
  <c r="L180" i="7" s="1"/>
  <c r="I181" i="7"/>
  <c r="L181" i="7" s="1"/>
  <c r="I182" i="7"/>
  <c r="L182" i="7" s="1"/>
  <c r="I183" i="7"/>
  <c r="I184" i="7"/>
  <c r="L184" i="7" s="1"/>
  <c r="I185" i="7"/>
  <c r="L185" i="7" s="1"/>
  <c r="I186" i="7"/>
  <c r="L186" i="7" s="1"/>
  <c r="I187" i="7"/>
  <c r="L187" i="7" s="1"/>
  <c r="I188" i="7"/>
  <c r="L188" i="7" s="1"/>
  <c r="I189" i="7"/>
  <c r="L189" i="7" s="1"/>
  <c r="I190" i="7"/>
  <c r="L190" i="7" s="1"/>
  <c r="I191" i="7"/>
  <c r="L191" i="7" s="1"/>
  <c r="I192" i="7"/>
  <c r="L192" i="7" s="1"/>
  <c r="I193" i="7"/>
  <c r="L193" i="7" s="1"/>
  <c r="I194" i="7"/>
  <c r="L194" i="7" s="1"/>
  <c r="I195" i="7"/>
  <c r="L195" i="7" s="1"/>
  <c r="I196" i="7"/>
  <c r="L196" i="7" s="1"/>
  <c r="I197" i="7"/>
  <c r="L197" i="7" s="1"/>
  <c r="I198" i="7"/>
  <c r="L198" i="7" s="1"/>
  <c r="I199" i="7"/>
  <c r="I200" i="7"/>
  <c r="I201" i="7"/>
  <c r="I202" i="7"/>
  <c r="I203" i="7"/>
  <c r="I204" i="7"/>
  <c r="L204" i="7" s="1"/>
  <c r="I205" i="7"/>
  <c r="L205" i="7" s="1"/>
  <c r="I206" i="7"/>
  <c r="L206" i="7" s="1"/>
  <c r="I207" i="7"/>
  <c r="L207" i="7" s="1"/>
  <c r="I208" i="7"/>
  <c r="L208" i="7" s="1"/>
  <c r="I209" i="7"/>
  <c r="L209" i="7" s="1"/>
  <c r="I210" i="7"/>
  <c r="I211" i="7"/>
  <c r="L211" i="7" s="1"/>
  <c r="I212" i="7"/>
  <c r="L212" i="7" s="1"/>
  <c r="I213" i="7"/>
  <c r="L213" i="7" s="1"/>
  <c r="I214" i="7"/>
  <c r="L214" i="7" s="1"/>
  <c r="I215" i="7"/>
  <c r="I216" i="7"/>
  <c r="L216" i="7" s="1"/>
  <c r="I217" i="7"/>
  <c r="L217" i="7" s="1"/>
  <c r="I218" i="7"/>
  <c r="L218" i="7" s="1"/>
  <c r="I219" i="7"/>
  <c r="L219" i="7" s="1"/>
  <c r="I220" i="7"/>
  <c r="L220" i="7" s="1"/>
  <c r="I221" i="7"/>
  <c r="L221" i="7" s="1"/>
  <c r="I222" i="7"/>
  <c r="L222" i="7" s="1"/>
  <c r="I223" i="7"/>
  <c r="L223" i="7" s="1"/>
  <c r="I224" i="7"/>
  <c r="L224" i="7" s="1"/>
  <c r="I225" i="7"/>
  <c r="L225" i="7" s="1"/>
  <c r="I226" i="7"/>
  <c r="I227" i="7"/>
  <c r="L227" i="7" s="1"/>
  <c r="I228" i="7"/>
  <c r="L228" i="7" s="1"/>
  <c r="I229" i="7"/>
  <c r="L229" i="7" s="1"/>
  <c r="I230" i="7"/>
  <c r="L230" i="7" s="1"/>
  <c r="I231" i="7"/>
  <c r="I232" i="7"/>
  <c r="L232" i="7" s="1"/>
  <c r="I233" i="7"/>
  <c r="I234" i="7"/>
  <c r="I235" i="7"/>
  <c r="I236" i="7"/>
  <c r="I237" i="7"/>
  <c r="L237" i="7" s="1"/>
  <c r="I238" i="7"/>
  <c r="L238" i="7" s="1"/>
  <c r="I239" i="7"/>
  <c r="L239" i="7" s="1"/>
  <c r="I240" i="7"/>
  <c r="L240" i="7" s="1"/>
  <c r="I241" i="7"/>
  <c r="L241" i="7" s="1"/>
  <c r="I242" i="7"/>
  <c r="L242" i="7" s="1"/>
  <c r="I243" i="7"/>
  <c r="L243" i="7" s="1"/>
  <c r="I244" i="7"/>
  <c r="L244" i="7" s="1"/>
  <c r="I245" i="7"/>
  <c r="L245" i="7" s="1"/>
  <c r="I246" i="7"/>
  <c r="L246" i="7" s="1"/>
  <c r="I247" i="7"/>
  <c r="L247" i="7" s="1"/>
  <c r="I248" i="7"/>
  <c r="L248" i="7" s="1"/>
  <c r="I249" i="7"/>
  <c r="L249" i="7" s="1"/>
  <c r="I250" i="7"/>
  <c r="L250" i="7" s="1"/>
  <c r="I251" i="7"/>
  <c r="L251" i="7" s="1"/>
  <c r="I252" i="7"/>
  <c r="L252" i="7" s="1"/>
  <c r="I253" i="7"/>
  <c r="L253" i="7" s="1"/>
  <c r="I254" i="7"/>
  <c r="L254" i="7" s="1"/>
  <c r="I255" i="7"/>
  <c r="L255" i="7" s="1"/>
  <c r="I256" i="7"/>
  <c r="L256" i="7" s="1"/>
  <c r="I257" i="7"/>
  <c r="L257" i="7" s="1"/>
  <c r="I258" i="7"/>
  <c r="L258" i="7" s="1"/>
  <c r="I259" i="7"/>
  <c r="L259" i="7" s="1"/>
  <c r="I260" i="7"/>
  <c r="L260" i="7" s="1"/>
  <c r="I261" i="7"/>
  <c r="L261" i="7" s="1"/>
  <c r="I262" i="7"/>
  <c r="L262" i="7" s="1"/>
  <c r="I263" i="7"/>
  <c r="I264" i="7"/>
  <c r="I265" i="7"/>
  <c r="I266" i="7"/>
  <c r="L266" i="7" s="1"/>
  <c r="I267" i="7"/>
  <c r="I268" i="7"/>
  <c r="I269" i="7"/>
  <c r="I270" i="7"/>
  <c r="I271" i="7"/>
  <c r="L271" i="7" s="1"/>
  <c r="I272" i="7"/>
  <c r="L272" i="7" s="1"/>
  <c r="I273" i="7"/>
  <c r="L273" i="7" s="1"/>
  <c r="I274" i="7"/>
  <c r="I275" i="7"/>
  <c r="L275" i="7" s="1"/>
  <c r="I276" i="7"/>
  <c r="L276" i="7" s="1"/>
  <c r="I277" i="7"/>
  <c r="L277" i="7" s="1"/>
  <c r="I278" i="7"/>
  <c r="L278" i="7" s="1"/>
  <c r="I279" i="7"/>
  <c r="I280" i="7"/>
  <c r="L280" i="7" s="1"/>
  <c r="I281" i="7"/>
  <c r="L281" i="7" s="1"/>
  <c r="I282" i="7"/>
  <c r="L282" i="7" s="1"/>
  <c r="I283" i="7"/>
  <c r="L283" i="7" s="1"/>
  <c r="I284" i="7"/>
  <c r="L284" i="7" s="1"/>
  <c r="I285" i="7"/>
  <c r="L285" i="7" s="1"/>
  <c r="I286" i="7"/>
  <c r="L286" i="7" s="1"/>
  <c r="I287" i="7"/>
  <c r="L287" i="7" s="1"/>
  <c r="I288" i="7"/>
  <c r="L288" i="7" s="1"/>
  <c r="I289" i="7"/>
  <c r="L289" i="7" s="1"/>
  <c r="I290" i="7"/>
  <c r="I291" i="7"/>
  <c r="I292" i="7"/>
  <c r="L292" i="7" s="1"/>
  <c r="I293" i="7"/>
  <c r="L293" i="7" s="1"/>
  <c r="I294" i="7"/>
  <c r="L294" i="7" s="1"/>
  <c r="I295" i="7"/>
  <c r="I296" i="7"/>
  <c r="L296" i="7" s="1"/>
  <c r="I297" i="7"/>
  <c r="I298" i="7"/>
  <c r="I299" i="7"/>
  <c r="L299" i="7" s="1"/>
  <c r="I300" i="7"/>
  <c r="I301" i="7"/>
  <c r="I302" i="7"/>
  <c r="I303" i="7"/>
  <c r="L303" i="7" s="1"/>
  <c r="I304" i="7"/>
  <c r="L304" i="7" s="1"/>
  <c r="I305" i="7"/>
  <c r="L305" i="7" s="1"/>
  <c r="I306" i="7"/>
  <c r="L306" i="7" s="1"/>
  <c r="I307" i="7"/>
  <c r="L307" i="7" s="1"/>
  <c r="I308" i="7"/>
  <c r="L308" i="7" s="1"/>
  <c r="I309" i="7"/>
  <c r="L309" i="7" s="1"/>
  <c r="I310" i="7"/>
  <c r="L310" i="7" s="1"/>
  <c r="I311" i="7"/>
  <c r="I312" i="7"/>
  <c r="I313" i="7"/>
  <c r="L313" i="7" s="1"/>
  <c r="I314" i="7"/>
  <c r="L314" i="7" s="1"/>
  <c r="I315" i="7"/>
  <c r="L315" i="7" s="1"/>
  <c r="I316" i="7"/>
  <c r="L316" i="7" s="1"/>
  <c r="I317" i="7"/>
  <c r="L317" i="7" s="1"/>
  <c r="I318" i="7"/>
  <c r="L318" i="7" s="1"/>
  <c r="I319" i="7"/>
  <c r="L319" i="7" s="1"/>
  <c r="I320" i="7"/>
  <c r="L320" i="7" s="1"/>
  <c r="I321" i="7"/>
  <c r="L321" i="7" s="1"/>
  <c r="I322" i="7"/>
  <c r="L322" i="7" s="1"/>
  <c r="I323" i="7"/>
  <c r="L323" i="7" s="1"/>
  <c r="I324" i="7"/>
  <c r="L324" i="7" s="1"/>
  <c r="I325" i="7"/>
  <c r="L325" i="7" s="1"/>
  <c r="I326" i="7"/>
  <c r="L326" i="7" s="1"/>
  <c r="I327" i="7"/>
  <c r="I328" i="7"/>
  <c r="L328" i="7" s="1"/>
  <c r="I329" i="7"/>
  <c r="L329" i="7" s="1"/>
  <c r="I330" i="7"/>
  <c r="L330" i="7" s="1"/>
  <c r="I331" i="7"/>
  <c r="L331" i="7" s="1"/>
  <c r="I332" i="7"/>
  <c r="L332" i="7" s="1"/>
  <c r="I333" i="7"/>
  <c r="L333" i="7" s="1"/>
  <c r="I334" i="7"/>
  <c r="L334" i="7" s="1"/>
  <c r="I335" i="7"/>
  <c r="L335" i="7" s="1"/>
  <c r="I336" i="7"/>
  <c r="L336" i="7" s="1"/>
  <c r="I337" i="7"/>
  <c r="L337" i="7" s="1"/>
  <c r="I338" i="7"/>
  <c r="I339" i="7"/>
  <c r="L339" i="7" s="1"/>
  <c r="I340" i="7"/>
  <c r="L340" i="7" s="1"/>
  <c r="I341" i="7"/>
  <c r="L341" i="7" s="1"/>
  <c r="I342" i="7"/>
  <c r="L342" i="7" s="1"/>
  <c r="I343" i="7"/>
  <c r="I344" i="7"/>
  <c r="L344" i="7" s="1"/>
  <c r="I345" i="7"/>
  <c r="I346" i="7"/>
  <c r="I347" i="7"/>
  <c r="I348" i="7"/>
  <c r="L348" i="7" s="1"/>
  <c r="I349" i="7"/>
  <c r="L349" i="7" s="1"/>
  <c r="I350" i="7"/>
  <c r="L350" i="7" s="1"/>
  <c r="I351" i="7"/>
  <c r="L351" i="7" s="1"/>
  <c r="I352" i="7"/>
  <c r="L352" i="7" s="1"/>
  <c r="I353" i="7"/>
  <c r="L353" i="7" s="1"/>
  <c r="I354" i="7"/>
  <c r="L354" i="7" s="1"/>
  <c r="I355" i="7"/>
  <c r="L355" i="7" s="1"/>
  <c r="I356" i="7"/>
  <c r="L356" i="7" s="1"/>
  <c r="I357" i="7"/>
  <c r="L357" i="7" s="1"/>
  <c r="I358" i="7"/>
  <c r="I359" i="7"/>
  <c r="I360" i="7"/>
  <c r="L360" i="7" s="1"/>
  <c r="I361" i="7"/>
  <c r="L361" i="7" s="1"/>
  <c r="I362" i="7"/>
  <c r="L362" i="7" s="1"/>
  <c r="I363" i="7"/>
  <c r="L363" i="7" s="1"/>
  <c r="I364" i="7"/>
  <c r="L364" i="7" s="1"/>
  <c r="I365" i="7"/>
  <c r="L365" i="7" s="1"/>
  <c r="I366" i="7"/>
  <c r="L366" i="7" s="1"/>
  <c r="I367" i="7"/>
  <c r="L367" i="7" s="1"/>
  <c r="I368" i="7"/>
  <c r="L368" i="7" s="1"/>
  <c r="I369" i="7"/>
  <c r="L369" i="7" s="1"/>
  <c r="I370" i="7"/>
  <c r="L370" i="7" s="1"/>
  <c r="I371" i="7"/>
  <c r="L371" i="7" s="1"/>
  <c r="I372" i="7"/>
  <c r="L372" i="7" s="1"/>
  <c r="I373" i="7"/>
  <c r="L373" i="7" s="1"/>
  <c r="I374" i="7"/>
  <c r="L374" i="7" s="1"/>
  <c r="I375" i="7"/>
  <c r="I376" i="7"/>
  <c r="I377" i="7"/>
  <c r="I378" i="7"/>
  <c r="I379" i="7"/>
  <c r="I380" i="7"/>
  <c r="I381" i="7"/>
  <c r="I382" i="7"/>
  <c r="L382" i="7" s="1"/>
  <c r="I383" i="7"/>
  <c r="L383" i="7" s="1"/>
  <c r="I384" i="7"/>
  <c r="L384" i="7" s="1"/>
  <c r="I385" i="7"/>
  <c r="L385" i="7" s="1"/>
  <c r="I386" i="7"/>
  <c r="L386" i="7" s="1"/>
  <c r="I387" i="7"/>
  <c r="L387" i="7" s="1"/>
  <c r="I388" i="7"/>
  <c r="L388" i="7" s="1"/>
  <c r="I389" i="7"/>
  <c r="L389" i="7" s="1"/>
  <c r="I390" i="7"/>
  <c r="L390" i="7" s="1"/>
  <c r="I391" i="7"/>
  <c r="I392" i="7"/>
  <c r="L392" i="7" s="1"/>
  <c r="I393" i="7"/>
  <c r="L393" i="7" s="1"/>
  <c r="I394" i="7"/>
  <c r="L394" i="7" s="1"/>
  <c r="I395" i="7"/>
  <c r="L395" i="7" s="1"/>
  <c r="I396" i="7"/>
  <c r="L396" i="7" s="1"/>
  <c r="I397" i="7"/>
  <c r="L397" i="7" s="1"/>
  <c r="I398" i="7"/>
  <c r="L398" i="7" s="1"/>
  <c r="I399" i="7"/>
  <c r="L399" i="7" s="1"/>
  <c r="I400" i="7"/>
  <c r="L400" i="7" s="1"/>
  <c r="I401" i="7"/>
  <c r="L401" i="7" s="1"/>
  <c r="I402" i="7"/>
  <c r="I403" i="7"/>
  <c r="L403" i="7" s="1"/>
  <c r="I404" i="7"/>
  <c r="L404" i="7" s="1"/>
  <c r="I405" i="7"/>
  <c r="L405" i="7" s="1"/>
  <c r="I406" i="7"/>
  <c r="L406" i="7" s="1"/>
  <c r="I407" i="7"/>
  <c r="I408" i="7"/>
  <c r="I409" i="7"/>
  <c r="I410" i="7"/>
  <c r="I411" i="7"/>
  <c r="I412" i="7"/>
  <c r="L412" i="7" s="1"/>
  <c r="I413" i="7"/>
  <c r="I414" i="7"/>
  <c r="L414" i="7" s="1"/>
  <c r="I415" i="7"/>
  <c r="L415" i="7" s="1"/>
  <c r="I416" i="7"/>
  <c r="L416" i="7" s="1"/>
  <c r="I417" i="7"/>
  <c r="L417" i="7" s="1"/>
  <c r="I418" i="7"/>
  <c r="L418" i="7" s="1"/>
  <c r="I419" i="7"/>
  <c r="L419" i="7" s="1"/>
  <c r="I420" i="7"/>
  <c r="L420" i="7" s="1"/>
  <c r="I421" i="7"/>
  <c r="L421" i="7" s="1"/>
  <c r="I422" i="7"/>
  <c r="L422" i="7" s="1"/>
  <c r="I423" i="7"/>
  <c r="I424" i="7"/>
  <c r="I425" i="7"/>
  <c r="L425" i="7" s="1"/>
  <c r="I426" i="7"/>
  <c r="L426" i="7" s="1"/>
  <c r="I427" i="7"/>
  <c r="L427" i="7" s="1"/>
  <c r="I428" i="7"/>
  <c r="L428" i="7" s="1"/>
  <c r="I429" i="7"/>
  <c r="L429" i="7" s="1"/>
  <c r="I430" i="7"/>
  <c r="L430" i="7" s="1"/>
  <c r="I431" i="7"/>
  <c r="L431" i="7" s="1"/>
  <c r="I432" i="7"/>
  <c r="L432" i="7" s="1"/>
  <c r="I433" i="7"/>
  <c r="L433" i="7" s="1"/>
  <c r="I434" i="7"/>
  <c r="L434" i="7" s="1"/>
  <c r="I435" i="7"/>
  <c r="L435" i="7" s="1"/>
  <c r="I436" i="7"/>
  <c r="L436" i="7" s="1"/>
  <c r="I437" i="7"/>
  <c r="L437" i="7" s="1"/>
  <c r="I438" i="7"/>
  <c r="L438" i="7" s="1"/>
  <c r="I439" i="7"/>
  <c r="I440" i="7"/>
  <c r="L440" i="7" s="1"/>
  <c r="I441" i="7"/>
  <c r="L441" i="7" s="1"/>
  <c r="I442" i="7"/>
  <c r="L442" i="7" s="1"/>
  <c r="I443" i="7"/>
  <c r="L443" i="7" s="1"/>
  <c r="I444" i="7"/>
  <c r="L444" i="7" s="1"/>
  <c r="I445" i="7"/>
  <c r="L445" i="7" s="1"/>
  <c r="I446" i="7"/>
  <c r="L446" i="7" s="1"/>
  <c r="I447" i="7"/>
  <c r="L447" i="7" s="1"/>
  <c r="I448" i="7"/>
  <c r="L448" i="7" s="1"/>
  <c r="I449" i="7"/>
  <c r="L449" i="7" s="1"/>
  <c r="I450" i="7"/>
  <c r="I451" i="7"/>
  <c r="L451" i="7" s="1"/>
  <c r="I452" i="7"/>
  <c r="L452" i="7" s="1"/>
  <c r="I453" i="7"/>
  <c r="L453" i="7" s="1"/>
  <c r="I454" i="7"/>
  <c r="L454" i="7" s="1"/>
  <c r="I455" i="7"/>
  <c r="I456" i="7"/>
  <c r="L456" i="7" s="1"/>
  <c r="I457" i="7"/>
  <c r="I458" i="7"/>
  <c r="I459" i="7"/>
  <c r="L459" i="7" s="1"/>
  <c r="I460" i="7"/>
  <c r="L460" i="7" s="1"/>
  <c r="I461" i="7"/>
  <c r="L461" i="7" s="1"/>
  <c r="I462" i="7"/>
  <c r="L462" i="7" s="1"/>
  <c r="I463" i="7"/>
  <c r="L463" i="7" s="1"/>
  <c r="I464" i="7"/>
  <c r="L464" i="7" s="1"/>
  <c r="I465" i="7"/>
  <c r="L465" i="7" s="1"/>
  <c r="I466" i="7"/>
  <c r="L466" i="7" s="1"/>
  <c r="I467" i="7"/>
  <c r="L467" i="7" s="1"/>
  <c r="I468" i="7"/>
  <c r="L468" i="7" s="1"/>
  <c r="I469" i="7"/>
  <c r="L469" i="7" s="1"/>
  <c r="I470" i="7"/>
  <c r="L470" i="7" s="1"/>
  <c r="I471" i="7"/>
  <c r="I472" i="7"/>
  <c r="L472" i="7" s="1"/>
  <c r="I473" i="7"/>
  <c r="L473" i="7" s="1"/>
  <c r="I474" i="7"/>
  <c r="L474" i="7" s="1"/>
  <c r="I475" i="7"/>
  <c r="L475" i="7" s="1"/>
  <c r="I476" i="7"/>
  <c r="L476" i="7" s="1"/>
  <c r="I477" i="7"/>
  <c r="L477" i="7" s="1"/>
  <c r="I478" i="7"/>
  <c r="L478" i="7" s="1"/>
  <c r="I479" i="7"/>
  <c r="L479" i="7" s="1"/>
  <c r="I480" i="7"/>
  <c r="L480" i="7" s="1"/>
  <c r="I481" i="7"/>
  <c r="L481" i="7" s="1"/>
  <c r="I482" i="7"/>
  <c r="L482" i="7" s="1"/>
  <c r="I483" i="7"/>
  <c r="L483" i="7" s="1"/>
  <c r="I484" i="7"/>
  <c r="L484" i="7" s="1"/>
  <c r="I485" i="7"/>
  <c r="L485" i="7" s="1"/>
  <c r="I486" i="7"/>
  <c r="L486" i="7" s="1"/>
  <c r="I487" i="7"/>
  <c r="I488" i="7"/>
  <c r="I489" i="7"/>
  <c r="I490" i="7"/>
  <c r="I491" i="7"/>
  <c r="I492" i="7"/>
  <c r="I493" i="7"/>
  <c r="I494" i="7"/>
  <c r="I495" i="7"/>
  <c r="L495" i="7" s="1"/>
  <c r="I496" i="7"/>
  <c r="L496" i="7" s="1"/>
  <c r="I497" i="7"/>
  <c r="L497" i="7" s="1"/>
  <c r="I498" i="7"/>
  <c r="L498" i="7" s="1"/>
  <c r="I499" i="7"/>
  <c r="L499" i="7" s="1"/>
  <c r="I500" i="7"/>
  <c r="L500" i="7" s="1"/>
  <c r="I501" i="7"/>
  <c r="L501" i="7" s="1"/>
  <c r="L7" i="7"/>
  <c r="L22" i="7"/>
  <c r="L23" i="7"/>
  <c r="L25" i="7"/>
  <c r="L26" i="7"/>
  <c r="L27" i="7"/>
  <c r="L28" i="7"/>
  <c r="L39" i="7"/>
  <c r="L55" i="7"/>
  <c r="L56" i="7"/>
  <c r="L57" i="7"/>
  <c r="L58" i="7"/>
  <c r="L59" i="7"/>
  <c r="L60" i="7"/>
  <c r="L61" i="7"/>
  <c r="L62" i="7"/>
  <c r="L71" i="7"/>
  <c r="L82" i="7"/>
  <c r="L87" i="7"/>
  <c r="L90" i="7"/>
  <c r="L91" i="7"/>
  <c r="L92" i="7"/>
  <c r="L93" i="7"/>
  <c r="L94" i="7"/>
  <c r="L102" i="7"/>
  <c r="L103" i="7"/>
  <c r="L119" i="7"/>
  <c r="L120" i="7"/>
  <c r="L121" i="7"/>
  <c r="L122" i="7"/>
  <c r="L123" i="7"/>
  <c r="L124" i="7"/>
  <c r="L125" i="7"/>
  <c r="L135" i="7"/>
  <c r="L137" i="7"/>
  <c r="L138" i="7"/>
  <c r="L139" i="7"/>
  <c r="L146" i="7"/>
  <c r="L151" i="7"/>
  <c r="L165" i="7"/>
  <c r="L166" i="7"/>
  <c r="L167" i="7"/>
  <c r="L169" i="7"/>
  <c r="L170" i="7"/>
  <c r="L183" i="7"/>
  <c r="L199" i="7"/>
  <c r="L200" i="7"/>
  <c r="L201" i="7"/>
  <c r="L202" i="7"/>
  <c r="L203" i="7"/>
  <c r="L210" i="7"/>
  <c r="L215" i="7"/>
  <c r="L226" i="7"/>
  <c r="L231" i="7"/>
  <c r="L233" i="7"/>
  <c r="L234" i="7"/>
  <c r="L235" i="7"/>
  <c r="L236" i="7"/>
  <c r="L263" i="7"/>
  <c r="L264" i="7"/>
  <c r="L265" i="7"/>
  <c r="L267" i="7"/>
  <c r="L268" i="7"/>
  <c r="L269" i="7"/>
  <c r="L270" i="7"/>
  <c r="L274" i="7"/>
  <c r="L279" i="7"/>
  <c r="L290" i="7"/>
  <c r="L291" i="7"/>
  <c r="L295" i="7"/>
  <c r="L297" i="7"/>
  <c r="L298" i="7"/>
  <c r="L300" i="7"/>
  <c r="L301" i="7"/>
  <c r="L302" i="7"/>
  <c r="L311" i="7"/>
  <c r="L312" i="7"/>
  <c r="L327" i="7"/>
  <c r="L338" i="7"/>
  <c r="L343" i="7"/>
  <c r="L345" i="7"/>
  <c r="L346" i="7"/>
  <c r="L347" i="7"/>
  <c r="L358" i="7"/>
  <c r="L359" i="7"/>
  <c r="L375" i="7"/>
  <c r="L376" i="7"/>
  <c r="L377" i="7"/>
  <c r="L378" i="7"/>
  <c r="L379" i="7"/>
  <c r="L380" i="7"/>
  <c r="L381" i="7"/>
  <c r="L391" i="7"/>
  <c r="L402" i="7"/>
  <c r="L407" i="7"/>
  <c r="L408" i="7"/>
  <c r="L409" i="7"/>
  <c r="L410" i="7"/>
  <c r="L411" i="7"/>
  <c r="L413" i="7"/>
  <c r="L423" i="7"/>
  <c r="L424" i="7"/>
  <c r="L439" i="7"/>
  <c r="L450" i="7"/>
  <c r="L455" i="7"/>
  <c r="L457" i="7"/>
  <c r="L458" i="7"/>
  <c r="L471" i="7"/>
  <c r="L487" i="7"/>
  <c r="L488" i="7"/>
  <c r="L489" i="7"/>
  <c r="L490" i="7"/>
  <c r="L491" i="7"/>
  <c r="L492" i="7"/>
  <c r="L493" i="7"/>
  <c r="L494" i="7"/>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alcChain>
</file>

<file path=xl/sharedStrings.xml><?xml version="1.0" encoding="utf-8"?>
<sst xmlns="http://schemas.openxmlformats.org/spreadsheetml/2006/main" count="10306" uniqueCount="885">
  <si>
    <t>Clinic Location</t>
  </si>
  <si>
    <t>Revenue</t>
  </si>
  <si>
    <t>Treatment</t>
  </si>
  <si>
    <t>Baltimore</t>
  </si>
  <si>
    <t>Annual Bloodwork</t>
  </si>
  <si>
    <t>Frederick</t>
  </si>
  <si>
    <t>Dental Cleaning</t>
  </si>
  <si>
    <t>Rockville</t>
  </si>
  <si>
    <t>Emergency Visit</t>
  </si>
  <si>
    <t>Grand Total</t>
  </si>
  <si>
    <t>Nail Trim</t>
  </si>
  <si>
    <t>Office Visit</t>
  </si>
  <si>
    <t>Radiographs</t>
  </si>
  <si>
    <t>Surgery</t>
  </si>
  <si>
    <t>Vaccination</t>
  </si>
  <si>
    <t>Number of Visits</t>
  </si>
  <si>
    <t>Location</t>
  </si>
  <si>
    <t>Treatments</t>
  </si>
  <si>
    <t>Visit_ID</t>
  </si>
  <si>
    <t>Pet_ID</t>
  </si>
  <si>
    <t>Owner_ID</t>
  </si>
  <si>
    <t>Pet_Name</t>
  </si>
  <si>
    <t>Species</t>
  </si>
  <si>
    <t>Breed</t>
  </si>
  <si>
    <t>Visit_Date</t>
  </si>
  <si>
    <t>Charge_Code</t>
  </si>
  <si>
    <t>Charge_Amount</t>
  </si>
  <si>
    <t>Clinic_Location</t>
  </si>
  <si>
    <t>Winston</t>
  </si>
  <si>
    <t>Dog</t>
  </si>
  <si>
    <t>Shih Tzu</t>
  </si>
  <si>
    <t>03/28/2023</t>
  </si>
  <si>
    <t>SUR04</t>
  </si>
  <si>
    <t>Ellie</t>
  </si>
  <si>
    <t>German Shepherd</t>
  </si>
  <si>
    <t>01/09/2023</t>
  </si>
  <si>
    <t>EM06</t>
  </si>
  <si>
    <t>Rocky</t>
  </si>
  <si>
    <t>Beagle</t>
  </si>
  <si>
    <t>11/14/2023</t>
  </si>
  <si>
    <t>BW07</t>
  </si>
  <si>
    <t>Cat</t>
  </si>
  <si>
    <t>Yorkshire Terrier</t>
  </si>
  <si>
    <t>01/02/2023</t>
  </si>
  <si>
    <t>Riley</t>
  </si>
  <si>
    <t>Border Collie</t>
  </si>
  <si>
    <t>11/05/2023</t>
  </si>
  <si>
    <t>DEN02</t>
  </si>
  <si>
    <t>Shadow</t>
  </si>
  <si>
    <t>Chihuahua</t>
  </si>
  <si>
    <t>10/19/2023</t>
  </si>
  <si>
    <t>RAD08</t>
  </si>
  <si>
    <t>Rosie</t>
  </si>
  <si>
    <t>Poodle</t>
  </si>
  <si>
    <t>01/29/2023</t>
  </si>
  <si>
    <t>VAC01</t>
  </si>
  <si>
    <t>Nova</t>
  </si>
  <si>
    <t>Labrador Retriever</t>
  </si>
  <si>
    <t>04/07/2023</t>
  </si>
  <si>
    <t>CHK03</t>
  </si>
  <si>
    <t>Loki</t>
  </si>
  <si>
    <t>Ragdoll</t>
  </si>
  <si>
    <t>11/20/2023</t>
  </si>
  <si>
    <t>05/28/2023</t>
  </si>
  <si>
    <t>NT05</t>
  </si>
  <si>
    <t>Max</t>
  </si>
  <si>
    <t>Scottish Fold</t>
  </si>
  <si>
    <t>06/01/2023</t>
  </si>
  <si>
    <t>Oliver</t>
  </si>
  <si>
    <t>08/08/2023</t>
  </si>
  <si>
    <t>Bentley</t>
  </si>
  <si>
    <t>British Shorthair</t>
  </si>
  <si>
    <t>03/19/2023</t>
  </si>
  <si>
    <t>Cocker Spaniel</t>
  </si>
  <si>
    <t>04/02/2023</t>
  </si>
  <si>
    <t>Coco</t>
  </si>
  <si>
    <t>Great Dane</t>
  </si>
  <si>
    <t>03/02/2023</t>
  </si>
  <si>
    <t>Charlie</t>
  </si>
  <si>
    <t>10/29/2023</t>
  </si>
  <si>
    <t>03/11/2023</t>
  </si>
  <si>
    <t>Oreo</t>
  </si>
  <si>
    <t>Rottweiler</t>
  </si>
  <si>
    <t>05/31/2023</t>
  </si>
  <si>
    <t>Blue</t>
  </si>
  <si>
    <t>Doberman Pinscher</t>
  </si>
  <si>
    <t>05/27/2023</t>
  </si>
  <si>
    <t>Siamese</t>
  </si>
  <si>
    <t>02/27/2023</t>
  </si>
  <si>
    <t>Finn</t>
  </si>
  <si>
    <t>07/05/2023</t>
  </si>
  <si>
    <t>Moose</t>
  </si>
  <si>
    <t>10/15/2023</t>
  </si>
  <si>
    <t>Atlas</t>
  </si>
  <si>
    <t>Boxer</t>
  </si>
  <si>
    <t>12/03/2023</t>
  </si>
  <si>
    <t>Duke</t>
  </si>
  <si>
    <t>Abyssinian</t>
  </si>
  <si>
    <t>10/23/2023</t>
  </si>
  <si>
    <t>Remy</t>
  </si>
  <si>
    <t>07/17/2023</t>
  </si>
  <si>
    <t>Lucy</t>
  </si>
  <si>
    <t>Boston Terrier</t>
  </si>
  <si>
    <t>02/11/2023</t>
  </si>
  <si>
    <t>Persian</t>
  </si>
  <si>
    <t>09/25/2023</t>
  </si>
  <si>
    <t>04/11/2023</t>
  </si>
  <si>
    <t>Sphynx</t>
  </si>
  <si>
    <t>11/13/2023</t>
  </si>
  <si>
    <t>Tucker</t>
  </si>
  <si>
    <t>05/26/2023</t>
  </si>
  <si>
    <t>Bulldog</t>
  </si>
  <si>
    <t>01/01/2023</t>
  </si>
  <si>
    <t>Scout</t>
  </si>
  <si>
    <t>04/26/2023</t>
  </si>
  <si>
    <t>Thor</t>
  </si>
  <si>
    <t>Maine Coon</t>
  </si>
  <si>
    <t>11/15/2023</t>
  </si>
  <si>
    <t>Bengal</t>
  </si>
  <si>
    <t>07/29/2023</t>
  </si>
  <si>
    <t>Cooper</t>
  </si>
  <si>
    <t>03/25/2023</t>
  </si>
  <si>
    <t>10/02/2023</t>
  </si>
  <si>
    <t>11/06/2023</t>
  </si>
  <si>
    <t>09/18/2023</t>
  </si>
  <si>
    <t>03/21/2023</t>
  </si>
  <si>
    <t>Stella</t>
  </si>
  <si>
    <t>09/06/2023</t>
  </si>
  <si>
    <t>Jax</t>
  </si>
  <si>
    <t>12/26/2023</t>
  </si>
  <si>
    <t>Bailey</t>
  </si>
  <si>
    <t>Dachshund</t>
  </si>
  <si>
    <t>03/12/2023</t>
  </si>
  <si>
    <t>06/04/2023</t>
  </si>
  <si>
    <t>01/16/2023</t>
  </si>
  <si>
    <t>French Bulldog</t>
  </si>
  <si>
    <t>01/19/2023</t>
  </si>
  <si>
    <t>04/14/2023</t>
  </si>
  <si>
    <t>08/31/2023</t>
  </si>
  <si>
    <t>Nala</t>
  </si>
  <si>
    <t>03/10/2023</t>
  </si>
  <si>
    <t>10/14/2023</t>
  </si>
  <si>
    <t>Daisy</t>
  </si>
  <si>
    <t>08/05/2023</t>
  </si>
  <si>
    <t>06/12/2023</t>
  </si>
  <si>
    <t>Golden Retriever</t>
  </si>
  <si>
    <t>08/01/2023</t>
  </si>
  <si>
    <t>Zoey</t>
  </si>
  <si>
    <t>12/14/2023</t>
  </si>
  <si>
    <t>Milo</t>
  </si>
  <si>
    <t>09/21/2023</t>
  </si>
  <si>
    <t>Siberian Husky</t>
  </si>
  <si>
    <t>03/23/2023</t>
  </si>
  <si>
    <t>04/18/2023</t>
  </si>
  <si>
    <t>Pepper</t>
  </si>
  <si>
    <t>05/22/2023</t>
  </si>
  <si>
    <t>07/23/2023</t>
  </si>
  <si>
    <t>09/17/2023</t>
  </si>
  <si>
    <t>Luna</t>
  </si>
  <si>
    <t>04/08/2023</t>
  </si>
  <si>
    <t>Russian Blue</t>
  </si>
  <si>
    <t>01/26/2023</t>
  </si>
  <si>
    <t>Bella</t>
  </si>
  <si>
    <t>01/22/2023</t>
  </si>
  <si>
    <t>07/07/2023</t>
  </si>
  <si>
    <t>07/27/2023</t>
  </si>
  <si>
    <t>07/06/2023</t>
  </si>
  <si>
    <t>01/28/2023</t>
  </si>
  <si>
    <t>04/25/2023</t>
  </si>
  <si>
    <t>03/04/2023</t>
  </si>
  <si>
    <t>09/11/2023</t>
  </si>
  <si>
    <t>Australian Shepherd</t>
  </si>
  <si>
    <t>05/07/2023</t>
  </si>
  <si>
    <t>05/14/2023</t>
  </si>
  <si>
    <t>03/30/2023</t>
  </si>
  <si>
    <t>02/10/2023</t>
  </si>
  <si>
    <t>Marley</t>
  </si>
  <si>
    <t>01/14/2023</t>
  </si>
  <si>
    <t>07/25/2023</t>
  </si>
  <si>
    <t>Ace</t>
  </si>
  <si>
    <t>03/03/2023</t>
  </si>
  <si>
    <t>06/21/2023</t>
  </si>
  <si>
    <t>07/28/2023</t>
  </si>
  <si>
    <t>Sadie</t>
  </si>
  <si>
    <t>02/14/2023</t>
  </si>
  <si>
    <t>Zeus</t>
  </si>
  <si>
    <t>11/10/2023</t>
  </si>
  <si>
    <t>12/06/2023</t>
  </si>
  <si>
    <t>Murphy</t>
  </si>
  <si>
    <t>09/20/2023</t>
  </si>
  <si>
    <t>06/24/2023</t>
  </si>
  <si>
    <t>Chloe</t>
  </si>
  <si>
    <t>02/08/2023</t>
  </si>
  <si>
    <t>12/24/2023</t>
  </si>
  <si>
    <t>Koda</t>
  </si>
  <si>
    <t>08/29/2023</t>
  </si>
  <si>
    <t>03/06/2023</t>
  </si>
  <si>
    <t>Gizmo</t>
  </si>
  <si>
    <t>03/27/2023</t>
  </si>
  <si>
    <t>11/21/2023</t>
  </si>
  <si>
    <t>12/11/2023</t>
  </si>
  <si>
    <t>11/16/2023</t>
  </si>
  <si>
    <t>10/07/2023</t>
  </si>
  <si>
    <t>11/27/2023</t>
  </si>
  <si>
    <t>08/15/2023</t>
  </si>
  <si>
    <t>11/07/2023</t>
  </si>
  <si>
    <t>10/03/2023</t>
  </si>
  <si>
    <t>11/28/2023</t>
  </si>
  <si>
    <t>11/17/2023</t>
  </si>
  <si>
    <t>09/28/2023</t>
  </si>
  <si>
    <t>10/26/2023</t>
  </si>
  <si>
    <t>Simba</t>
  </si>
  <si>
    <t>06/27/2023</t>
  </si>
  <si>
    <t>04/30/2023</t>
  </si>
  <si>
    <t>Leo</t>
  </si>
  <si>
    <t>04/01/2023</t>
  </si>
  <si>
    <t>07/10/2023</t>
  </si>
  <si>
    <t>Harley</t>
  </si>
  <si>
    <t>02/16/2023</t>
  </si>
  <si>
    <t>11/04/2023</t>
  </si>
  <si>
    <t>Penny</t>
  </si>
  <si>
    <t>12/05/2023</t>
  </si>
  <si>
    <t>05/29/2023</t>
  </si>
  <si>
    <t>03/24/2023</t>
  </si>
  <si>
    <t>01/27/2023</t>
  </si>
  <si>
    <t>11/22/2023</t>
  </si>
  <si>
    <t>02/02/2023</t>
  </si>
  <si>
    <t>08/21/2023</t>
  </si>
  <si>
    <t>02/15/2023</t>
  </si>
  <si>
    <t>07/16/2023</t>
  </si>
  <si>
    <t>Tank</t>
  </si>
  <si>
    <t>12/25/2023</t>
  </si>
  <si>
    <t>03/26/2023</t>
  </si>
  <si>
    <t>12/07/2023</t>
  </si>
  <si>
    <t>04/12/2023</t>
  </si>
  <si>
    <t>12/08/2023</t>
  </si>
  <si>
    <t>08/28/2023</t>
  </si>
  <si>
    <t>03/16/2023</t>
  </si>
  <si>
    <t>08/14/2023</t>
  </si>
  <si>
    <t>04/03/2023</t>
  </si>
  <si>
    <t>05/17/2023</t>
  </si>
  <si>
    <t>05/10/2023</t>
  </si>
  <si>
    <t>08/17/2023</t>
  </si>
  <si>
    <t>05/30/2023</t>
  </si>
  <si>
    <t>Ruby</t>
  </si>
  <si>
    <t>04/17/2023</t>
  </si>
  <si>
    <t>02/25/2023</t>
  </si>
  <si>
    <t>01/05/2023</t>
  </si>
  <si>
    <t>05/15/2023</t>
  </si>
  <si>
    <t>03/29/2023</t>
  </si>
  <si>
    <t>02/19/2023</t>
  </si>
  <si>
    <t>04/20/2023</t>
  </si>
  <si>
    <t>10/11/2023</t>
  </si>
  <si>
    <t>08/18/2023</t>
  </si>
  <si>
    <t>03/18/2023</t>
  </si>
  <si>
    <t>08/23/2023</t>
  </si>
  <si>
    <t>10/12/2023</t>
  </si>
  <si>
    <t>04/05/2023</t>
  </si>
  <si>
    <t>06/09/2023</t>
  </si>
  <si>
    <t>06/17/2023</t>
  </si>
  <si>
    <t>01/24/2023</t>
  </si>
  <si>
    <t>02/01/2023</t>
  </si>
  <si>
    <t>08/12/2023</t>
  </si>
  <si>
    <t>04/09/2023</t>
  </si>
  <si>
    <t>06/28/2023</t>
  </si>
  <si>
    <t>10/13/2023</t>
  </si>
  <si>
    <t>12/12/2023</t>
  </si>
  <si>
    <t>12/10/2023</t>
  </si>
  <si>
    <t>11/19/2023</t>
  </si>
  <si>
    <t>11/26/2023</t>
  </si>
  <si>
    <t>10/09/2023</t>
  </si>
  <si>
    <t>09/12/2023</t>
  </si>
  <si>
    <t>04/04/2023</t>
  </si>
  <si>
    <t>03/15/2023</t>
  </si>
  <si>
    <t>05/05/2023</t>
  </si>
  <si>
    <t>10/24/2023</t>
  </si>
  <si>
    <t>08/24/2023</t>
  </si>
  <si>
    <t>03/01/2023</t>
  </si>
  <si>
    <t>07/14/2023</t>
  </si>
  <si>
    <t>06/15/2023</t>
  </si>
  <si>
    <t>10/04/2023</t>
  </si>
  <si>
    <t>12/01/2023</t>
  </si>
  <si>
    <t>05/16/2023</t>
  </si>
  <si>
    <t>12/21/2023</t>
  </si>
  <si>
    <t>10/17/2023</t>
  </si>
  <si>
    <t>05/03/2023</t>
  </si>
  <si>
    <t>01/30/2023</t>
  </si>
  <si>
    <t>01/01/2024</t>
  </si>
  <si>
    <t>05/01/2023</t>
  </si>
  <si>
    <t>08/26/2023</t>
  </si>
  <si>
    <t>08/27/2023</t>
  </si>
  <si>
    <t>01/18/2023</t>
  </si>
  <si>
    <t>03/08/2023</t>
  </si>
  <si>
    <t>12/29/2023</t>
  </si>
  <si>
    <t>10/16/2023</t>
  </si>
  <si>
    <t>02/20/2023</t>
  </si>
  <si>
    <t>07/19/2023</t>
  </si>
  <si>
    <t>05/18/2023</t>
  </si>
  <si>
    <t>07/12/2023</t>
  </si>
  <si>
    <t>07/18/2023</t>
  </si>
  <si>
    <t>09/24/2023</t>
  </si>
  <si>
    <t>02/22/2023</t>
  </si>
  <si>
    <t>06/18/2023</t>
  </si>
  <si>
    <t>02/09/2023</t>
  </si>
  <si>
    <t>11/29/2023</t>
  </si>
  <si>
    <t>06/30/2023</t>
  </si>
  <si>
    <t>10/21/2023</t>
  </si>
  <si>
    <t>08/25/2023</t>
  </si>
  <si>
    <t>07/09/2023</t>
  </si>
  <si>
    <t>08/04/2023</t>
  </si>
  <si>
    <t>12/04/2023</t>
  </si>
  <si>
    <t>04/13/2023</t>
  </si>
  <si>
    <t>Bear</t>
  </si>
  <si>
    <t>07/02/2023</t>
  </si>
  <si>
    <t>01/15/2023</t>
  </si>
  <si>
    <t>07/11/2023</t>
  </si>
  <si>
    <t>02/23/2023</t>
  </si>
  <si>
    <t>04/21/2023</t>
  </si>
  <si>
    <t>11/03/2023</t>
  </si>
  <si>
    <t>03/20/2023</t>
  </si>
  <si>
    <t>09/16/2023</t>
  </si>
  <si>
    <t>05/06/2023</t>
  </si>
  <si>
    <t>05/19/2023</t>
  </si>
  <si>
    <t>12/18/2023</t>
  </si>
  <si>
    <t>09/13/2023</t>
  </si>
  <si>
    <t>06/08/2023</t>
  </si>
  <si>
    <t>02/06/2023</t>
  </si>
  <si>
    <t>08/03/2023</t>
  </si>
  <si>
    <t>09/04/2023</t>
  </si>
  <si>
    <t>05/20/2023</t>
  </si>
  <si>
    <t>10/27/2023</t>
  </si>
  <si>
    <t>02/26/2023</t>
  </si>
  <si>
    <t>10/31/2023</t>
  </si>
  <si>
    <t>09/14/2023</t>
  </si>
  <si>
    <t>06/13/2023</t>
  </si>
  <si>
    <t>06/29/2023</t>
  </si>
  <si>
    <t>10/10/2023</t>
  </si>
  <si>
    <t>06/26/2023</t>
  </si>
  <si>
    <t>09/02/2023</t>
  </si>
  <si>
    <t>04/10/2023</t>
  </si>
  <si>
    <t>03/09/2023</t>
  </si>
  <si>
    <t>02/04/2023</t>
  </si>
  <si>
    <t>08/06/2023</t>
  </si>
  <si>
    <t>08/10/2023</t>
  </si>
  <si>
    <t>07/15/2023</t>
  </si>
  <si>
    <t>03/31/2023</t>
  </si>
  <si>
    <t>07/21/2023</t>
  </si>
  <si>
    <t>09/08/2023</t>
  </si>
  <si>
    <t>01/13/2023</t>
  </si>
  <si>
    <t>05/13/2023</t>
  </si>
  <si>
    <t>10/01/2023</t>
  </si>
  <si>
    <t>09/10/2023</t>
  </si>
  <si>
    <t>03/14/2023</t>
  </si>
  <si>
    <t>12/23/2023</t>
  </si>
  <si>
    <t>11/30/2023</t>
  </si>
  <si>
    <t>07/31/2023</t>
  </si>
  <si>
    <t>01/11/2023</t>
  </si>
  <si>
    <t>07/24/2023</t>
  </si>
  <si>
    <t>07/04/2023</t>
  </si>
  <si>
    <t>10/28/2023</t>
  </si>
  <si>
    <t>08/13/2023</t>
  </si>
  <si>
    <t>01/21/2023</t>
  </si>
  <si>
    <t>05/24/2023</t>
  </si>
  <si>
    <t>09/09/2023</t>
  </si>
  <si>
    <t>02/12/2023</t>
  </si>
  <si>
    <t>02/17/2023</t>
  </si>
  <si>
    <t>06/19/2023</t>
  </si>
  <si>
    <t>01/12/2023</t>
  </si>
  <si>
    <t>06/06/2023</t>
  </si>
  <si>
    <t>12/15/2023</t>
  </si>
  <si>
    <t>12/22/2023</t>
  </si>
  <si>
    <t>01/07/2023</t>
  </si>
  <si>
    <t>12/30/2023</t>
  </si>
  <si>
    <t>10/25/2023</t>
  </si>
  <si>
    <t>09/27/2023</t>
  </si>
  <si>
    <t>09/26/2023</t>
  </si>
  <si>
    <t>09/19/2023</t>
  </si>
  <si>
    <t>04/24/2023</t>
  </si>
  <si>
    <t>06/03/2023</t>
  </si>
  <si>
    <t>05/23/2023</t>
  </si>
  <si>
    <t>08/11/2023</t>
  </si>
  <si>
    <t>06/23/2023</t>
  </si>
  <si>
    <t>07/20/2023</t>
  </si>
  <si>
    <t>05/21/2023</t>
  </si>
  <si>
    <t>04/29/2023</t>
  </si>
  <si>
    <t>08/22/2023</t>
  </si>
  <si>
    <t>11/02/2023</t>
  </si>
  <si>
    <t>01/03/2023</t>
  </si>
  <si>
    <t>06/07/2023</t>
  </si>
  <si>
    <t>DOG</t>
  </si>
  <si>
    <t>Vaccnation</t>
  </si>
  <si>
    <t>frederick</t>
  </si>
  <si>
    <t>cat</t>
  </si>
  <si>
    <t>Checkup</t>
  </si>
  <si>
    <t>den02</t>
  </si>
  <si>
    <t>check up</t>
  </si>
  <si>
    <t>chk03</t>
  </si>
  <si>
    <t>nt05</t>
  </si>
  <si>
    <t>sur04</t>
  </si>
  <si>
    <t>vac01</t>
  </si>
  <si>
    <t>rad08</t>
  </si>
  <si>
    <t>em06</t>
  </si>
  <si>
    <t>bw07</t>
  </si>
  <si>
    <t>Owner_Name</t>
  </si>
  <si>
    <t>Owner_Email</t>
  </si>
  <si>
    <t>Owner_Phone</t>
  </si>
  <si>
    <t>City</t>
  </si>
  <si>
    <t>State</t>
  </si>
  <si>
    <t>Levi Baker</t>
  </si>
  <si>
    <t>levi.baker@test.com</t>
  </si>
  <si>
    <t>+1 (495) 310-2462</t>
  </si>
  <si>
    <t>MD</t>
  </si>
  <si>
    <t>Dylan Morris</t>
  </si>
  <si>
    <t>dylan.morris@test.com</t>
  </si>
  <si>
    <t>+1 (845) 620-4973</t>
  </si>
  <si>
    <t>Evelyn Nelson</t>
  </si>
  <si>
    <t>evelyn.nelson@test.com</t>
  </si>
  <si>
    <t>+1 (413) 997-3147</t>
  </si>
  <si>
    <t>Sebastian Turner</t>
  </si>
  <si>
    <t>sebastian.turner@test.com</t>
  </si>
  <si>
    <t>+1 (724) 896-1144</t>
  </si>
  <si>
    <t>Mateo Gonzalez</t>
  </si>
  <si>
    <t>mateo.gonzalez@test.com</t>
  </si>
  <si>
    <t>+1 (719) 406-4967</t>
  </si>
  <si>
    <t>Samuel Rogers</t>
  </si>
  <si>
    <t>samuel.rogers@test.com</t>
  </si>
  <si>
    <t>+1 (600) 906-4389</t>
  </si>
  <si>
    <t>Mateo Thompson</t>
  </si>
  <si>
    <t>mateo.thompson@test.com</t>
  </si>
  <si>
    <t>+1 (760) 804-4262</t>
  </si>
  <si>
    <t>Luke Nelson</t>
  </si>
  <si>
    <t>luke.nelson@test.com</t>
  </si>
  <si>
    <t>+1 (873) 500-8562</t>
  </si>
  <si>
    <t>Henry Collins</t>
  </si>
  <si>
    <t>henry.collins@test.com</t>
  </si>
  <si>
    <t>+1 (253) 688-3755</t>
  </si>
  <si>
    <t>Mateo Edwards</t>
  </si>
  <si>
    <t>mateo.edwards@test.com</t>
  </si>
  <si>
    <t>+1 (559) 378-9024</t>
  </si>
  <si>
    <t>Anthony Carter</t>
  </si>
  <si>
    <t>anthony.carter@test.com</t>
  </si>
  <si>
    <t>+1 (850) 444-1358</t>
  </si>
  <si>
    <t>Leo Perez</t>
  </si>
  <si>
    <t>leo.perez@test.com</t>
  </si>
  <si>
    <t>+1 (706) 837-8678</t>
  </si>
  <si>
    <t>Logan Murphy</t>
  </si>
  <si>
    <t>logan.murphy@test.com</t>
  </si>
  <si>
    <t>+1 (471) 811-2679</t>
  </si>
  <si>
    <t>Dylan Rivera</t>
  </si>
  <si>
    <t>dylan.rivera@test.com</t>
  </si>
  <si>
    <t>+1 (659) 297-4252</t>
  </si>
  <si>
    <t>Theodore Perez</t>
  </si>
  <si>
    <t>theodore.perez@test.com</t>
  </si>
  <si>
    <t>+1 (761) 407-7861</t>
  </si>
  <si>
    <t>Oliver Cox</t>
  </si>
  <si>
    <t>oliver.cox@test.com</t>
  </si>
  <si>
    <t>+1 (543) 656-6048</t>
  </si>
  <si>
    <t>Logan Hernandez</t>
  </si>
  <si>
    <t>logan.hernandez@test.com</t>
  </si>
  <si>
    <t>+1 (380) 573-1062</t>
  </si>
  <si>
    <t>James Hall</t>
  </si>
  <si>
    <t>james.hall@test.com</t>
  </si>
  <si>
    <t>+1 (842) 639-3265</t>
  </si>
  <si>
    <t>Henry Walker</t>
  </si>
  <si>
    <t>henry.walker@test.com</t>
  </si>
  <si>
    <t>+1 (775) 929-5795</t>
  </si>
  <si>
    <t>Ethan Wright</t>
  </si>
  <si>
    <t>ethan.wright@test.com</t>
  </si>
  <si>
    <t>+1 (417) 517-4556</t>
  </si>
  <si>
    <t>Lucas Murphy</t>
  </si>
  <si>
    <t>lucas.murphy@test.com</t>
  </si>
  <si>
    <t>+1 (570) 556-2913</t>
  </si>
  <si>
    <t>Dylan King</t>
  </si>
  <si>
    <t>dylan.king@test.com</t>
  </si>
  <si>
    <t>+1 (700) 551-5754</t>
  </si>
  <si>
    <t>Grayson Rogers</t>
  </si>
  <si>
    <t>grayson.rogers@test.com</t>
  </si>
  <si>
    <t>+1 (887) 765-9661</t>
  </si>
  <si>
    <t>Elijah Roberts</t>
  </si>
  <si>
    <t>elijah.roberts@test.com</t>
  </si>
  <si>
    <t>+1 (976) 288-3901</t>
  </si>
  <si>
    <t>Wyatt Hill</t>
  </si>
  <si>
    <t>wyatt.hill@test.com</t>
  </si>
  <si>
    <t>+1 (364) 389-4293</t>
  </si>
  <si>
    <t>Alexander Allen</t>
  </si>
  <si>
    <t>alexander.allen@test.com</t>
  </si>
  <si>
    <t>+1 (563) 808-8263</t>
  </si>
  <si>
    <t>Jayden Baker</t>
  </si>
  <si>
    <t>jayden.baker@test.com</t>
  </si>
  <si>
    <t>+1 (980) 870-1783</t>
  </si>
  <si>
    <t>Mason Cook</t>
  </si>
  <si>
    <t>mason.cook@test.com</t>
  </si>
  <si>
    <t>+1 (506) 835-2101</t>
  </si>
  <si>
    <t>Matthew Perez</t>
  </si>
  <si>
    <t>matthew.perez@test.com</t>
  </si>
  <si>
    <t>+1 (461) 877-9433</t>
  </si>
  <si>
    <t>William Campbell</t>
  </si>
  <si>
    <t>william.campbell@test.com</t>
  </si>
  <si>
    <t>+1 (979) 275-7962</t>
  </si>
  <si>
    <t>William Roberts</t>
  </si>
  <si>
    <t>william.roberts@test.com</t>
  </si>
  <si>
    <t>+1 (400) 416-9442</t>
  </si>
  <si>
    <t>Olivia Cooper</t>
  </si>
  <si>
    <t>olivia.cooper@test.com</t>
  </si>
  <si>
    <t>+1 (385) 461-9267</t>
  </si>
  <si>
    <t>Lincoln Clark</t>
  </si>
  <si>
    <t>lincoln.clark@test.com</t>
  </si>
  <si>
    <t>+1 (401) 958-1289</t>
  </si>
  <si>
    <t>Ethan Sanchez</t>
  </si>
  <si>
    <t>ethan.sanchez@test.com</t>
  </si>
  <si>
    <t>+1 (704) 542-1354</t>
  </si>
  <si>
    <t>Carter Richardson</t>
  </si>
  <si>
    <t>carter.richardson@test.com</t>
  </si>
  <si>
    <t>+1 (577) 870-2710</t>
  </si>
  <si>
    <t>Dylan Rogers</t>
  </si>
  <si>
    <t>dylan.rogers@test.com</t>
  </si>
  <si>
    <t>+1 (928) 655-4749</t>
  </si>
  <si>
    <t>Wyatt Allen</t>
  </si>
  <si>
    <t>wyatt.allen@test.com</t>
  </si>
  <si>
    <t>+1 (994) 993-9261</t>
  </si>
  <si>
    <t>Samuel Howard</t>
  </si>
  <si>
    <t>samuel.howard@test.com</t>
  </si>
  <si>
    <t>+1 (790) 710-6580</t>
  </si>
  <si>
    <t>Alexander Parker</t>
  </si>
  <si>
    <t>alexander.parker@test.com</t>
  </si>
  <si>
    <t>+1 (386) 212-6940</t>
  </si>
  <si>
    <t>Levi Gonzalez</t>
  </si>
  <si>
    <t>levi.gonzalez@test.com</t>
  </si>
  <si>
    <t>+1 (984) 965-9922</t>
  </si>
  <si>
    <t>Alexander Wright</t>
  </si>
  <si>
    <t>alexander.wright@test.com</t>
  </si>
  <si>
    <t>+1 (921) 832-1206</t>
  </si>
  <si>
    <t>Leo Morris</t>
  </si>
  <si>
    <t>leo.morris@test.com</t>
  </si>
  <si>
    <t>+1 (618) 258-9120</t>
  </si>
  <si>
    <t>Olivia Parker</t>
  </si>
  <si>
    <t>olivia.parker@test.com</t>
  </si>
  <si>
    <t>+1 (311) 396-6462</t>
  </si>
  <si>
    <t>Isaac Cooper</t>
  </si>
  <si>
    <t>isaac.cooper@test.com</t>
  </si>
  <si>
    <t>+1 (403) 934-5457</t>
  </si>
  <si>
    <t>Lincoln Murphy</t>
  </si>
  <si>
    <t>lincoln.murphy@test.com</t>
  </si>
  <si>
    <t>+1 (958) 502-3574</t>
  </si>
  <si>
    <t>Elijah Wright</t>
  </si>
  <si>
    <t>elijah.wright@test.com</t>
  </si>
  <si>
    <t>+1 (466) 410-5680</t>
  </si>
  <si>
    <t>Oliver Rivera</t>
  </si>
  <si>
    <t>oliver.rivera@test.com</t>
  </si>
  <si>
    <t>+1 (748) 366-4661</t>
  </si>
  <si>
    <t>James Lewis</t>
  </si>
  <si>
    <t>james.lewis@test.com</t>
  </si>
  <si>
    <t>+1 (369) 601-2753</t>
  </si>
  <si>
    <t>Henry Murphy</t>
  </si>
  <si>
    <t>henry.murphy@test.com</t>
  </si>
  <si>
    <t>+1 (886) 925-3404</t>
  </si>
  <si>
    <t>Noah Turner</t>
  </si>
  <si>
    <t>noah.turner@test.com</t>
  </si>
  <si>
    <t>+1 (264) 269-6280</t>
  </si>
  <si>
    <t>Amelia Perez</t>
  </si>
  <si>
    <t>amelia.perez@test.com</t>
  </si>
  <si>
    <t>+1 (399) 475-6372</t>
  </si>
  <si>
    <t>Isabella Rogers</t>
  </si>
  <si>
    <t>isabella.rogers@test.com</t>
  </si>
  <si>
    <t>+1 (961) 544-5913</t>
  </si>
  <si>
    <t>Julian Moore</t>
  </si>
  <si>
    <t>julian.moore@test.com</t>
  </si>
  <si>
    <t>+1 (820) 791-2479</t>
  </si>
  <si>
    <t>Mason Morris</t>
  </si>
  <si>
    <t>mason.morris@test.com</t>
  </si>
  <si>
    <t>+1 (551) 682-9371</t>
  </si>
  <si>
    <t>Luke Clark</t>
  </si>
  <si>
    <t>luke.clark@test.com</t>
  </si>
  <si>
    <t>+1 (995) 348-9676</t>
  </si>
  <si>
    <t>Ethan Morris</t>
  </si>
  <si>
    <t>ethan.morris@test.com</t>
  </si>
  <si>
    <t>+1 (886) 226-2784</t>
  </si>
  <si>
    <t>Jack Gonzalez</t>
  </si>
  <si>
    <t>jack.gonzalez@test.com</t>
  </si>
  <si>
    <t>+1 (583) 297-7479</t>
  </si>
  <si>
    <t>Luke Peterson</t>
  </si>
  <si>
    <t>luke.peterson@test.com</t>
  </si>
  <si>
    <t>+1 (664) 798-5975</t>
  </si>
  <si>
    <t>Olivia Baker</t>
  </si>
  <si>
    <t>olivia.baker@test.com</t>
  </si>
  <si>
    <t>+1 (805) 376-5015</t>
  </si>
  <si>
    <t>Leo Hill</t>
  </si>
  <si>
    <t>leo.hill@test.com</t>
  </si>
  <si>
    <t>+1 (720) 515-5937</t>
  </si>
  <si>
    <t>Matthew Hernandez</t>
  </si>
  <si>
    <t>matthew.hernandez@test.com</t>
  </si>
  <si>
    <t>+1 (691) 755-4427</t>
  </si>
  <si>
    <t>Emma Wright</t>
  </si>
  <si>
    <t>emma.wright@test.com</t>
  </si>
  <si>
    <t>+1 (983) 588-3525</t>
  </si>
  <si>
    <t>William Nelson</t>
  </si>
  <si>
    <t>william.nelson@test.com</t>
  </si>
  <si>
    <t>+1 (360) 730-3733</t>
  </si>
  <si>
    <t>Levi Parker</t>
  </si>
  <si>
    <t>levi.parker@test.com</t>
  </si>
  <si>
    <t>+1 (421) 252-5882</t>
  </si>
  <si>
    <t>Julian Cooper</t>
  </si>
  <si>
    <t>julian.cooper@test.com</t>
  </si>
  <si>
    <t>+1 (459) 587-4064</t>
  </si>
  <si>
    <t>Luke Thompson</t>
  </si>
  <si>
    <t>luke.thompson@test.com</t>
  </si>
  <si>
    <t>+1 (761) 971-9041</t>
  </si>
  <si>
    <t>Gabriel Evans</t>
  </si>
  <si>
    <t>gabriel.evans@test.com</t>
  </si>
  <si>
    <t>+1 (491) 253-9578</t>
  </si>
  <si>
    <t>William Cook</t>
  </si>
  <si>
    <t>william.cook@test.com</t>
  </si>
  <si>
    <t>+1 (473) 301-6847</t>
  </si>
  <si>
    <t>Dylan Sanchez</t>
  </si>
  <si>
    <t>dylan.sanchez@test.com</t>
  </si>
  <si>
    <t>+1 (763) 972-8183</t>
  </si>
  <si>
    <t>Dylan Bell</t>
  </si>
  <si>
    <t>dylan.bell@test.com</t>
  </si>
  <si>
    <t>+1 (630) 636-8681</t>
  </si>
  <si>
    <t>Ethan Turner</t>
  </si>
  <si>
    <t>ethan.turner@test.com</t>
  </si>
  <si>
    <t>+1 (818) 260-2744</t>
  </si>
  <si>
    <t>Evelyn Parker</t>
  </si>
  <si>
    <t>evelyn.parker@test.com</t>
  </si>
  <si>
    <t>+1 (989) 655-6011</t>
  </si>
  <si>
    <t>Samuel King</t>
  </si>
  <si>
    <t>samuel.king@test.com</t>
  </si>
  <si>
    <t>+1 (573) 620-1377</t>
  </si>
  <si>
    <t>Gabriel Adams</t>
  </si>
  <si>
    <t>gabriel.adams@test.com</t>
  </si>
  <si>
    <t>+1 (320) 339-5683</t>
  </si>
  <si>
    <t>Benjamin Sanchez</t>
  </si>
  <si>
    <t>benjamin.sanchez@test.com</t>
  </si>
  <si>
    <t>+1 (576) 895-5956</t>
  </si>
  <si>
    <t>Harper Mitchell</t>
  </si>
  <si>
    <t>harper.mitchell@test.com</t>
  </si>
  <si>
    <t>+1 (284) 339-6645</t>
  </si>
  <si>
    <t>Samuel Edwards</t>
  </si>
  <si>
    <t>samuel.edwards@test.com</t>
  </si>
  <si>
    <t>+1 (612) 369-4981</t>
  </si>
  <si>
    <t>Dylan Parker</t>
  </si>
  <si>
    <t>dylan.parker@test.com</t>
  </si>
  <si>
    <t>+1 (216) 508-7086</t>
  </si>
  <si>
    <t>Anthony Ward</t>
  </si>
  <si>
    <t>anthony.ward@test.com</t>
  </si>
  <si>
    <t>+1 (208) 849-9580</t>
  </si>
  <si>
    <t>Matthew King</t>
  </si>
  <si>
    <t>matthew.king@test.com</t>
  </si>
  <si>
    <t>+1 (781) 221-3805</t>
  </si>
  <si>
    <t>Elijah Phillips</t>
  </si>
  <si>
    <t>elijah.phillips@test.com</t>
  </si>
  <si>
    <t>+1 (634) 523-8961</t>
  </si>
  <si>
    <t>Elijah Thompson</t>
  </si>
  <si>
    <t>elijah.thompson@test.com</t>
  </si>
  <si>
    <t>+1 (871) 917-4028</t>
  </si>
  <si>
    <t>Evelyn Collins</t>
  </si>
  <si>
    <t>evelyn.collins@test.com</t>
  </si>
  <si>
    <t>+1 (333) 202-9980</t>
  </si>
  <si>
    <t>Alexander Howard</t>
  </si>
  <si>
    <t>alexander.howard@test.com</t>
  </si>
  <si>
    <t>+1 (260) 797-5627</t>
  </si>
  <si>
    <t>Matthew Anderson</t>
  </si>
  <si>
    <t>matthew.anderson@test.com</t>
  </si>
  <si>
    <t>+1 (566) 656-3648</t>
  </si>
  <si>
    <t>Luke Rogers</t>
  </si>
  <si>
    <t>luke.rogers@test.com</t>
  </si>
  <si>
    <t>+1 (208) 895-5481</t>
  </si>
  <si>
    <t>Jayden Bell</t>
  </si>
  <si>
    <t>jayden.bell@test.com</t>
  </si>
  <si>
    <t>+1 (609) 868-4781</t>
  </si>
  <si>
    <t>Grayson Nelson</t>
  </si>
  <si>
    <t>grayson.nelson@test.com</t>
  </si>
  <si>
    <t>+1 (985) 458-4362</t>
  </si>
  <si>
    <t>Henry Anderson</t>
  </si>
  <si>
    <t>henry.anderson@test.com</t>
  </si>
  <si>
    <t>+1 (956) 443-7122</t>
  </si>
  <si>
    <t>Jackson Peterson</t>
  </si>
  <si>
    <t>jackson.peterson@test.com</t>
  </si>
  <si>
    <t>+1 (232) 806-5630</t>
  </si>
  <si>
    <t>Mateo Parker</t>
  </si>
  <si>
    <t>mateo.parker@test.com</t>
  </si>
  <si>
    <t>+1 (321) 890-6018</t>
  </si>
  <si>
    <t>John Cooper</t>
  </si>
  <si>
    <t>john.cooper@test.com</t>
  </si>
  <si>
    <t>+1 (944) 963-2178</t>
  </si>
  <si>
    <t>Anthony Lopez</t>
  </si>
  <si>
    <t>anthony.lopez@test.com</t>
  </si>
  <si>
    <t>+1 (724) 886-5691</t>
  </si>
  <si>
    <t>Asher Edwards</t>
  </si>
  <si>
    <t>asher.edwards@test.com</t>
  </si>
  <si>
    <t>+1 (981) 728-9299</t>
  </si>
  <si>
    <t>Elijah Hill</t>
  </si>
  <si>
    <t>elijah.hill@test.com</t>
  </si>
  <si>
    <t>+1 (707) 817-2583</t>
  </si>
  <si>
    <t>Ava Turner</t>
  </si>
  <si>
    <t>ava.turner@test.com</t>
  </si>
  <si>
    <t>+1 (799) 506-5979</t>
  </si>
  <si>
    <t>James Phillips</t>
  </si>
  <si>
    <t>james.phillips@test.com</t>
  </si>
  <si>
    <t>+1 (681) 791-3736</t>
  </si>
  <si>
    <t>Aiden Green</t>
  </si>
  <si>
    <t>aiden.green@test.com</t>
  </si>
  <si>
    <t>+1 (256) 609-9707</t>
  </si>
  <si>
    <t>Mia Ward</t>
  </si>
  <si>
    <t>mia.ward@test.com</t>
  </si>
  <si>
    <t>+1 (431) 558-3147</t>
  </si>
  <si>
    <t>Theodore Cooper</t>
  </si>
  <si>
    <t>theodore.cooper@test.com</t>
  </si>
  <si>
    <t>+1 (699) 441-3594</t>
  </si>
  <si>
    <t>Grayson Phillips</t>
  </si>
  <si>
    <t>grayson.phillips@test.com</t>
  </si>
  <si>
    <t>+1 (400) 426-1286</t>
  </si>
  <si>
    <t>Ava Hall</t>
  </si>
  <si>
    <t>ava.hall@test.com</t>
  </si>
  <si>
    <t>+1 (213) 531-9893</t>
  </si>
  <si>
    <t>James Rivera</t>
  </si>
  <si>
    <t>james.rivera@test.com</t>
  </si>
  <si>
    <t>+1 (454) 757-1029</t>
  </si>
  <si>
    <t>John Sanchez</t>
  </si>
  <si>
    <t>john.sanchez@test.com</t>
  </si>
  <si>
    <t>+1 (431) 617-8921</t>
  </si>
  <si>
    <t>Liam Hill</t>
  </si>
  <si>
    <t>liam.hill@test.com</t>
  </si>
  <si>
    <t>+1 (325) 848-5269</t>
  </si>
  <si>
    <t>Benjamin Green</t>
  </si>
  <si>
    <t>benjamin.green@test.com</t>
  </si>
  <si>
    <t>+1 (796) 570-3122</t>
  </si>
  <si>
    <t>David Hall</t>
  </si>
  <si>
    <t>david.hall@test.com</t>
  </si>
  <si>
    <t>+1 (712) 333-4397</t>
  </si>
  <si>
    <t>Noah Wright</t>
  </si>
  <si>
    <t>noah.wright@test.com</t>
  </si>
  <si>
    <t>+1 (260) 874-5710</t>
  </si>
  <si>
    <t>Charlotte Murphy</t>
  </si>
  <si>
    <t>charlotte.murphy@test.com</t>
  </si>
  <si>
    <t>+1 (753) 937-5372</t>
  </si>
  <si>
    <t>Anthony Anderson</t>
  </si>
  <si>
    <t>anthony.anderson@test.com</t>
  </si>
  <si>
    <t>+1 (587) 358-6744</t>
  </si>
  <si>
    <t>Mason Campbell</t>
  </si>
  <si>
    <t>mason.campbell@test.com</t>
  </si>
  <si>
    <t>+1 (912) 936-7414</t>
  </si>
  <si>
    <t>Hudson Hill</t>
  </si>
  <si>
    <t>hudson.hill@test.com</t>
  </si>
  <si>
    <t>+1 (992) 826-9466</t>
  </si>
  <si>
    <t>Lucas Rivera</t>
  </si>
  <si>
    <t>lucas.rivera@test.com</t>
  </si>
  <si>
    <t>+1 (855) 527-3619</t>
  </si>
  <si>
    <t>Benjamin Edwards</t>
  </si>
  <si>
    <t>benjamin.edwards@test.com</t>
  </si>
  <si>
    <t>+1 (791) 232-6475</t>
  </si>
  <si>
    <t>Julian Cox</t>
  </si>
  <si>
    <t>julian.cox@test.com</t>
  </si>
  <si>
    <t>+1 (528) 238-9696</t>
  </si>
  <si>
    <t>Aiden Moore</t>
  </si>
  <si>
    <t>aiden.moore@test.com</t>
  </si>
  <si>
    <t>+1 (256) 358-9063</t>
  </si>
  <si>
    <t>Samuel Morris</t>
  </si>
  <si>
    <t>samuel.morris@test.com</t>
  </si>
  <si>
    <t>+1 (300) 698-5699</t>
  </si>
  <si>
    <t>Luke King</t>
  </si>
  <si>
    <t>luke.king@test.com</t>
  </si>
  <si>
    <t>+1 (891) 251-9531</t>
  </si>
  <si>
    <t>Luke Morris</t>
  </si>
  <si>
    <t>luke.morris@test.com</t>
  </si>
  <si>
    <t>+1 (630) 944-7001</t>
  </si>
  <si>
    <t>Matthew Phillips</t>
  </si>
  <si>
    <t>matthew.phillips@test.com</t>
  </si>
  <si>
    <t>+1 (961) 292-6650</t>
  </si>
  <si>
    <t>Oliver Peterson</t>
  </si>
  <si>
    <t>oliver.peterson@test.com</t>
  </si>
  <si>
    <t>+1 (654) 730-8042</t>
  </si>
  <si>
    <t>Evelyn Allen</t>
  </si>
  <si>
    <t>evelyn.allen@test.com</t>
  </si>
  <si>
    <t>+1 (662) 426-7356</t>
  </si>
  <si>
    <t>Leo Cox</t>
  </si>
  <si>
    <t>leo.cox@test.com</t>
  </si>
  <si>
    <t>+1 (632) 837-7779</t>
  </si>
  <si>
    <t>Anthony Sanchez</t>
  </si>
  <si>
    <t>anthony.sanchez@test.com</t>
  </si>
  <si>
    <t>+1 (604) 813-2289</t>
  </si>
  <si>
    <t>Noah Torres</t>
  </si>
  <si>
    <t>noah.torres@test.com</t>
  </si>
  <si>
    <t>+1 (500) 626-9886</t>
  </si>
  <si>
    <t>David Thompson</t>
  </si>
  <si>
    <t>david.thompson@test.com</t>
  </si>
  <si>
    <t>+1 (884) 490-9362</t>
  </si>
  <si>
    <t>Leo Evans</t>
  </si>
  <si>
    <t>leo.evans@test.com</t>
  </si>
  <si>
    <t>+1 (426) 863-1454</t>
  </si>
  <si>
    <t>Charlotte Sanchez</t>
  </si>
  <si>
    <t>charlotte.sanchez@test.com</t>
  </si>
  <si>
    <t>+1 (524) 482-7600</t>
  </si>
  <si>
    <t>Isabella Baker</t>
  </si>
  <si>
    <t>isabella.baker@test.com</t>
  </si>
  <si>
    <t>+1 (372) 959-7693</t>
  </si>
  <si>
    <t>Dylan Nelson</t>
  </si>
  <si>
    <t>dylan.nelson@test.com</t>
  </si>
  <si>
    <t>+1 (729) 909-5477</t>
  </si>
  <si>
    <t>Mason Lewis</t>
  </si>
  <si>
    <t>mason.lewis@test.com</t>
  </si>
  <si>
    <t>+1 (291) 768-6231</t>
  </si>
  <si>
    <t>Logan Young</t>
  </si>
  <si>
    <t>logan.young@test.com</t>
  </si>
  <si>
    <t>+1 (389) 770-6069</t>
  </si>
  <si>
    <t>Amelia Mitchell</t>
  </si>
  <si>
    <t>amelia.mitchell@test.com</t>
  </si>
  <si>
    <t>+1 (930) 371-7679</t>
  </si>
  <si>
    <t>Benjamin Ward</t>
  </si>
  <si>
    <t>benjamin.ward@test.com</t>
  </si>
  <si>
    <t>+1 (568) 927-6920</t>
  </si>
  <si>
    <t>Gabriel Thompson</t>
  </si>
  <si>
    <t>gabriel.thompson@test.com</t>
  </si>
  <si>
    <t>+1 (302) 554-8486</t>
  </si>
  <si>
    <t>Jack Roberts</t>
  </si>
  <si>
    <t>jack.roberts@test.com</t>
  </si>
  <si>
    <t>+1 (372) 971-5805</t>
  </si>
  <si>
    <t>Owen Cooper</t>
  </si>
  <si>
    <t>owen.cooper@test.com</t>
  </si>
  <si>
    <t>+1 (736) 233-4237</t>
  </si>
  <si>
    <t>Mason Scott</t>
  </si>
  <si>
    <t>mason.scott@test.com</t>
  </si>
  <si>
    <t>+1 (468) 277-5223</t>
  </si>
  <si>
    <t>Mia Cook</t>
  </si>
  <si>
    <t>mia.cook@test.com</t>
  </si>
  <si>
    <t>+1 (330) 243-3095</t>
  </si>
  <si>
    <t>Jack Walker</t>
  </si>
  <si>
    <t>jack.walker@test.com</t>
  </si>
  <si>
    <t>+1 (992) 268-6813</t>
  </si>
  <si>
    <t>Mateo Bell</t>
  </si>
  <si>
    <t>mateo.bell@test.com</t>
  </si>
  <si>
    <t>+1 (674) 648-8625</t>
  </si>
  <si>
    <t>Sebastian Hill</t>
  </si>
  <si>
    <t>sebastian.hill@test.com</t>
  </si>
  <si>
    <t>+1 (618) 973-2856</t>
  </si>
  <si>
    <t>Wyatt Walker</t>
  </si>
  <si>
    <t>wyatt.walker@test.com</t>
  </si>
  <si>
    <t>+1 (730) 802-4401</t>
  </si>
  <si>
    <t>Leo Green</t>
  </si>
  <si>
    <t>leo.green@test.com</t>
  </si>
  <si>
    <t>+1 (487) 426-6954</t>
  </si>
  <si>
    <t>Wyatt Young</t>
  </si>
  <si>
    <t>wyatt.young@test.com</t>
  </si>
  <si>
    <t>+1 (547) 658-6921</t>
  </si>
  <si>
    <t>Mia Cooper</t>
  </si>
  <si>
    <t>mia.cooper@test.com</t>
  </si>
  <si>
    <t>+1 (717) 288-8901</t>
  </si>
  <si>
    <t>Asher Walker</t>
  </si>
  <si>
    <t>asher.walker@test.com</t>
  </si>
  <si>
    <t>+1 (953) 643-9489</t>
  </si>
  <si>
    <t>Isaac Adams</t>
  </si>
  <si>
    <t>isaac.adams@test.com</t>
  </si>
  <si>
    <t>+1 (464) 242-6014</t>
  </si>
  <si>
    <t>Mia Morris</t>
  </si>
  <si>
    <t>mia.morris@test.com</t>
  </si>
  <si>
    <t>+1 (808) 614-3048</t>
  </si>
  <si>
    <t>Isaac Clark</t>
  </si>
  <si>
    <t>isaac.clark@test.com</t>
  </si>
  <si>
    <t>+1 (479) 581-5070</t>
  </si>
  <si>
    <t>Expected_Treatment</t>
  </si>
  <si>
    <t>Standard_Amount</t>
  </si>
  <si>
    <t>Data_Cleaning_Steps</t>
  </si>
  <si>
    <t>Fixed inconsistent capitalization (DOG → Dog)</t>
  </si>
  <si>
    <t>Corrected misspelled treatments</t>
  </si>
  <si>
    <t>Standardized clinic locations</t>
  </si>
  <si>
    <t>Removed duplicates (if any)</t>
  </si>
  <si>
    <t>Validated charge codes against reference table</t>
  </si>
  <si>
    <t>Surgery_PostOp</t>
  </si>
  <si>
    <t>Column1</t>
  </si>
  <si>
    <t>Mean</t>
  </si>
  <si>
    <t>Standard Error</t>
  </si>
  <si>
    <t>Median</t>
  </si>
  <si>
    <t>Mode</t>
  </si>
  <si>
    <t>Standard Deviation</t>
  </si>
  <si>
    <t>Sample Variance</t>
  </si>
  <si>
    <t>Kurtosis</t>
  </si>
  <si>
    <t>Skewness</t>
  </si>
  <si>
    <t>Range</t>
  </si>
  <si>
    <t>Minimum</t>
  </si>
  <si>
    <t>Maximum</t>
  </si>
  <si>
    <t>Sum</t>
  </si>
  <si>
    <t>Count</t>
  </si>
  <si>
    <t>Row Labels</t>
  </si>
  <si>
    <t>Sum of Charge_Amount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</si>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</sst>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49" fontId="0" fillId="0" borderId="0" xfId="0" applyNumberFormat="1"/>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2" fontId="0" fillId="0" borderId="0" xfId="0" applyNumberFormat="1"/>
    <xf numFmtId="0" fontId="2" fillId="2" borderId="0" xfId="0" applyFont="1" applyFill="1" applyAlignment="1">
      <alignment horizontal="center" vertical="center"/>
    </xf>
    <xf numFmtId="0" fontId="0" fillId="0" borderId="1" xfId="0" applyBorder="1"/>
    <xf numFmtId="0" fontId="3" fillId="0" borderId="2" xfId="0" applyFont="1" applyBorder="1" applyAlignment="1">
      <alignment horizontal="centerContinuous"/>
    </xf>
    <xf numFmtId="2" fontId="0" fillId="0" borderId="1" xfId="0" applyNumberFormat="1" applyBorder="1"/>
  </cellXfs>
  <cellStyles count="2">
    <cellStyle name="Currency" xfId="1" builtinId="4"/>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quot;$&quot;#,##0.00"/>
    </dxf>
    <dxf>
      <numFmt numFmtId="0" formatCode="General"/>
    </dxf>
    <dxf>
      <numFmt numFmtId="19" formatCode="m/d/yyyy"/>
    </dxf>
    <dxf>
      <numFmt numFmtId="30" formatCode="@"/>
    </dxf>
    <dxf>
      <numFmt numFmtId="30" formatCode="@"/>
    </dxf>
    <dxf>
      <numFmt numFmtId="30" formatCode="@"/>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[veterinary_data_project.xlsx]Veterinary Clinic Dashboard!Revenue by Clinic</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Revenue by Clinic</a:t>
            </a:r>
            <a:r>
              <a:rPr lang="en-US" b="1" baseline="0"/>
              <a:t> 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5275034589365"/>
          <c:y val="0.24278452031755995"/>
          <c:w val="0.63868965131594613"/>
          <c:h val="0.59323182671200292"/>
        </c:manualLayout>
      </c:layout>
      <c:barChart>
        <c:barDir val="bar"/>
        <c:grouping val="clustered"/>
        <c:varyColors val="0"/>
        <c:ser>
          <c:idx val="0"/>
          <c:order val="0"/>
          <c:tx>
            <c:strRef>
              <c:f>'Veterinary Clinic Dashboard'!$B$9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'Veterinary Clinic Dashboard'!$A$10:$A$13</c:f>
              <c:strCache>
                <c:ptCount val="3"/>
                <c:pt idx="0">
                  <c:v>Baltimore</c:v>
                </c:pt>
                <c:pt idx="1">
                  <c:v>Frederick</c:v>
                </c:pt>
                <c:pt idx="2">
                  <c:v>Rockville</c:v>
                </c:pt>
              </c:strCache>
            </c:strRef>
          </c:cat>
          <c:val>
            <c:numRef>
              <c:f>'Veterinary Clinic Dashboard'!$B$10:$B$13</c:f>
              <c:numCache>
                <c:formatCode>"$"#,##0.00</c:formatCode>
                <c:ptCount val="3"/>
                <c:pt idx="0">
                  <c:v>46333.785799999998</c:v>
                </c:pt>
                <c:pt idx="1">
                  <c:v>83111.621300000028</c:v>
                </c:pt>
                <c:pt idx="2">
                  <c:v>40212.811500000011</c:v>
                </c:pt>
              </c:numCache>
            </c:numRef>
          </c:val>
          <c:extLst>
            <c:ext xmlns:c16="http://schemas.microsoft.com/office/drawing/2014/chart" uri="{C3380CC4-5D6E-409C-BE32-E72D297353CC}">
              <c16:uniqueId val="{00000000-B112-4C3A-B2CA-8260A012E862}"/>
            </c:ext>
          </c:extLst>
        </c:ser>
        <c:dLbls>
          <c:showLegendKey val="0"/>
          <c:showVal val="0"/>
          <c:showCatName val="0"/>
          <c:showSerName val="0"/>
          <c:showPercent val="0"/>
          <c:showBubbleSize val="0"/>
        </c:dLbls>
        <c:gapWidth val="219"/>
        <c:axId val="800658287"/>
        <c:axId val="33789599"/>
      </c:barChart>
      <c:catAx>
        <c:axId val="80065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crossAx val="33789599"/>
        <c:crosses val="autoZero"/>
        <c:auto val="1"/>
        <c:lblAlgn val="ctr"/>
        <c:lblOffset val="100"/>
        <c:noMultiLvlLbl val="0"/>
      </c:catAx>
      <c:valAx>
        <c:axId val="337895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800658287"/>
        <c:crosses val="autoZero"/>
        <c:crossBetween val="between"/>
        <c:majorUnit val="3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[veterinary_data_project.xlsx]Veterinary Clinic Dashboard!Revenue by Treatments</c:name>
    <c:fmtId val="0"/>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US" b="1"/>
              <a:t>Revenue by Treatment</a:t>
            </a:r>
          </a:p>
        </c:rich>
      </c:tx>
      <c:layout>
        <c:manualLayout>
          <c:xMode val="edge"/>
          <c:yMode val="edge"/>
          <c:x val="0.3252669334841336"/>
          <c:y val="3.599898782500306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'Veterinary Clinic Dashboard'!$J$9</c:f>
              <c:strCache>
                <c:ptCount val="1"/>
                <c:pt idx="0">
                  <c:v>Total</c:v>
                </c:pt>
              </c:strCache>
            </c:strRef>
          </c:tx>
          <c:spPr>
            <a:solidFill>
              <a:schemeClr val="accent1"/>
            </a:solidFill>
            <a:ln>
              <a:noFill/>
            </a:ln>
            <a:effectLst/>
          </c:spPr>
          <c:invertIfNegative val="0"/>
          <c:cat>
            <c:strRef>
              <c:f>'Veterinary Clinic Dashboard'!$I$10:$I$18</c:f>
              <c:strCache>
                <c:ptCount val="8"/>
                <c:pt idx="0">
                  <c:v>Annual Bloodwork</c:v>
                </c:pt>
                <c:pt idx="1">
                  <c:v>Dental Cleaning</c:v>
                </c:pt>
                <c:pt idx="2">
                  <c:v>Emergency Visit</c:v>
                </c:pt>
                <c:pt idx="3">
                  <c:v>Nail Trim</c:v>
                </c:pt>
                <c:pt idx="4">
                  <c:v>Office Visit</c:v>
                </c:pt>
                <c:pt idx="5">
                  <c:v>Radiographs</c:v>
                </c:pt>
                <c:pt idx="6">
                  <c:v>Surgery</c:v>
                </c:pt>
                <c:pt idx="7">
                  <c:v>Vaccination</c:v>
                </c:pt>
              </c:strCache>
            </c:strRef>
          </c:cat>
          <c:val>
            <c:numRef>
              <c:f>'Veterinary Clinic Dashboard'!$J$10:$J$18</c:f>
              <c:numCache>
                <c:formatCode>"$"#,##0.00</c:formatCode>
                <c:ptCount val="8"/>
                <c:pt idx="0">
                  <c:v>22102.735000000004</c:v>
                </c:pt>
                <c:pt idx="1">
                  <c:v>18746.950400000002</c:v>
                </c:pt>
                <c:pt idx="2">
                  <c:v>19799.897799999999</c:v>
                </c:pt>
                <c:pt idx="3">
                  <c:v>21260.612399999995</c:v>
                </c:pt>
                <c:pt idx="4">
                  <c:v>16734.633699999998</c:v>
                </c:pt>
                <c:pt idx="5">
                  <c:v>27250.812899999994</c:v>
                </c:pt>
                <c:pt idx="6">
                  <c:v>27917.402900000012</c:v>
                </c:pt>
                <c:pt idx="7">
                  <c:v>15845.173500000003</c:v>
                </c:pt>
              </c:numCache>
            </c:numRef>
          </c:val>
          <c:extLst>
            <c:ext xmlns:c16="http://schemas.microsoft.com/office/drawing/2014/chart" uri="{C3380CC4-5D6E-409C-BE32-E72D297353CC}">
              <c16:uniqueId val="{00000000-CFE6-4127-86FB-2618BCD9F21F}"/>
            </c:ext>
          </c:extLst>
        </c:ser>
        <c:dLbls>
          <c:showLegendKey val="0"/>
          <c:showVal val="0"/>
          <c:showCatName val="0"/>
          <c:showSerName val="0"/>
          <c:showPercent val="0"/>
          <c:showBubbleSize val="0"/>
        </c:dLbls>
        <c:gapWidth val="219"/>
        <c:overlap val="-27"/>
        <c:axId val="35738399"/>
        <c:axId val="1425737551"/>
      </c:barChart>
      <c:catAx>
        <c:axId val="357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25737551"/>
        <c:crosses val="autoZero"/>
        <c:auto val="1"/>
        <c:lblAlgn val="ctr"/>
        <c:lblOffset val="100"/>
        <c:noMultiLvlLbl val="0"/>
      </c:catAx>
      <c:valAx>
        <c:axId val="1425737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73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[veterinary_data_project.xlsx]Veterinary Clinic Dashboard!Number of Visits to Clinics per Treatments</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Number</a:t>
            </a:r>
            <a:r>
              <a:rPr lang="en-US" b="1" baseline="0"/>
              <a:t> of Visits by Treatment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'Veterinary Clinic Dashboard'!$B$25:$B$26</c:f>
              <c:strCache>
                <c:ptCount val="1"/>
                <c:pt idx="0">
                  <c:v>Baltimore</c:v>
                </c:pt>
              </c:strCache>
            </c:strRef>
          </c:tx>
          <c:spPr>
            <a:solidFill>
              <a:schemeClr val="accent1"/>
            </a:solidFill>
            <a:ln>
              <a:noFill/>
            </a:ln>
            <a:effectLst/>
          </c:spPr>
          <c:invertIfNegative val="0"/>
          <c:cat>
            <c:strRef>
              <c:f>'Veterinary Clinic Dashboard'!$A$27:$A$35</c:f>
              <c:strCache>
                <c:ptCount val="8"/>
                <c:pt idx="0">
                  <c:v>Annual Bloodwork</c:v>
                </c:pt>
                <c:pt idx="1">
                  <c:v>Dental Cleaning</c:v>
                </c:pt>
                <c:pt idx="2">
                  <c:v>Emergency Visit</c:v>
                </c:pt>
                <c:pt idx="3">
                  <c:v>Nail Trim</c:v>
                </c:pt>
                <c:pt idx="4">
                  <c:v>Office Visit</c:v>
                </c:pt>
                <c:pt idx="5">
                  <c:v>Radiographs</c:v>
                </c:pt>
                <c:pt idx="6">
                  <c:v>Surgery</c:v>
                </c:pt>
                <c:pt idx="7">
                  <c:v>Vaccination</c:v>
                </c:pt>
              </c:strCache>
            </c:strRef>
          </c:cat>
          <c:val>
            <c:numRef>
              <c:f>'Veterinary Clinic Dashboard'!$B$27:$B$35</c:f>
              <c:numCache>
                <c:formatCode>General</c:formatCode>
                <c:ptCount val="8"/>
                <c:pt idx="0">
                  <c:v>15</c:v>
                </c:pt>
                <c:pt idx="1">
                  <c:v>14</c:v>
                </c:pt>
                <c:pt idx="2">
                  <c:v>15</c:v>
                </c:pt>
                <c:pt idx="3">
                  <c:v>21</c:v>
                </c:pt>
                <c:pt idx="4">
                  <c:v>20</c:v>
                </c:pt>
                <c:pt idx="5">
                  <c:v>23</c:v>
                </c:pt>
                <c:pt idx="6">
                  <c:v>20</c:v>
                </c:pt>
                <c:pt idx="7">
                  <c:v>13</c:v>
                </c:pt>
              </c:numCache>
            </c:numRef>
          </c:val>
          <c:extLst>
            <c:ext xmlns:c16="http://schemas.microsoft.com/office/drawing/2014/chart" uri="{C3380CC4-5D6E-409C-BE32-E72D297353CC}">
              <c16:uniqueId val="{00000000-0458-4587-BDFA-E948029A6156}"/>
            </c:ext>
          </c:extLst>
        </c:ser>
        <c:ser>
          <c:idx val="1"/>
          <c:order val="1"/>
          <c:tx>
            <c:strRef>
              <c:f>'Veterinary Clinic Dashboard'!$C$25:$C$26</c:f>
              <c:strCache>
                <c:ptCount val="1"/>
                <c:pt idx="0">
                  <c:v>Frederick</c:v>
                </c:pt>
              </c:strCache>
            </c:strRef>
          </c:tx>
          <c:spPr>
            <a:solidFill>
              <a:schemeClr val="accent3"/>
            </a:solidFill>
            <a:ln>
              <a:noFill/>
            </a:ln>
            <a:effectLst/>
          </c:spPr>
          <c:invertIfNegative val="0"/>
          <c:cat>
            <c:strRef>
              <c:f>'Veterinary Clinic Dashboard'!$A$27:$A$35</c:f>
              <c:strCache>
                <c:ptCount val="8"/>
                <c:pt idx="0">
                  <c:v>Annual Bloodwork</c:v>
                </c:pt>
                <c:pt idx="1">
                  <c:v>Dental Cleaning</c:v>
                </c:pt>
                <c:pt idx="2">
                  <c:v>Emergency Visit</c:v>
                </c:pt>
                <c:pt idx="3">
                  <c:v>Nail Trim</c:v>
                </c:pt>
                <c:pt idx="4">
                  <c:v>Office Visit</c:v>
                </c:pt>
                <c:pt idx="5">
                  <c:v>Radiographs</c:v>
                </c:pt>
                <c:pt idx="6">
                  <c:v>Surgery</c:v>
                </c:pt>
                <c:pt idx="7">
                  <c:v>Vaccination</c:v>
                </c:pt>
              </c:strCache>
            </c:strRef>
          </c:cat>
          <c:val>
            <c:numRef>
              <c:f>'Veterinary Clinic Dashboard'!$C$27:$C$35</c:f>
              <c:numCache>
                <c:formatCode>General</c:formatCode>
                <c:ptCount val="8"/>
                <c:pt idx="0">
                  <c:v>28</c:v>
                </c:pt>
                <c:pt idx="1">
                  <c:v>27</c:v>
                </c:pt>
                <c:pt idx="2">
                  <c:v>30</c:v>
                </c:pt>
                <c:pt idx="3">
                  <c:v>35</c:v>
                </c:pt>
                <c:pt idx="4">
                  <c:v>28</c:v>
                </c:pt>
                <c:pt idx="5">
                  <c:v>26</c:v>
                </c:pt>
                <c:pt idx="6">
                  <c:v>38</c:v>
                </c:pt>
                <c:pt idx="7">
                  <c:v>29</c:v>
                </c:pt>
              </c:numCache>
            </c:numRef>
          </c:val>
          <c:extLst>
            <c:ext xmlns:c16="http://schemas.microsoft.com/office/drawing/2014/chart" uri="{C3380CC4-5D6E-409C-BE32-E72D297353CC}">
              <c16:uniqueId val="{00000006-0458-4587-BDFA-E948029A6156}"/>
            </c:ext>
          </c:extLst>
        </c:ser>
        <c:ser>
          <c:idx val="2"/>
          <c:order val="2"/>
          <c:tx>
            <c:strRef>
              <c:f>'Veterinary Clinic Dashboard'!$D$25:$D$26</c:f>
              <c:strCache>
                <c:ptCount val="1"/>
                <c:pt idx="0">
                  <c:v>Rockville</c:v>
                </c:pt>
              </c:strCache>
            </c:strRef>
          </c:tx>
          <c:spPr>
            <a:solidFill>
              <a:schemeClr val="accent5"/>
            </a:solidFill>
            <a:ln>
              <a:noFill/>
            </a:ln>
            <a:effectLst/>
          </c:spPr>
          <c:invertIfNegative val="0"/>
          <c:cat>
            <c:strRef>
              <c:f>'Veterinary Clinic Dashboard'!$A$27:$A$35</c:f>
              <c:strCache>
                <c:ptCount val="8"/>
                <c:pt idx="0">
                  <c:v>Annual Bloodwork</c:v>
                </c:pt>
                <c:pt idx="1">
                  <c:v>Dental Cleaning</c:v>
                </c:pt>
                <c:pt idx="2">
                  <c:v>Emergency Visit</c:v>
                </c:pt>
                <c:pt idx="3">
                  <c:v>Nail Trim</c:v>
                </c:pt>
                <c:pt idx="4">
                  <c:v>Office Visit</c:v>
                </c:pt>
                <c:pt idx="5">
                  <c:v>Radiographs</c:v>
                </c:pt>
                <c:pt idx="6">
                  <c:v>Surgery</c:v>
                </c:pt>
                <c:pt idx="7">
                  <c:v>Vaccination</c:v>
                </c:pt>
              </c:strCache>
            </c:strRef>
          </c:cat>
          <c:val>
            <c:numRef>
              <c:f>'Veterinary Clinic Dashboard'!$D$27:$D$35</c:f>
              <c:numCache>
                <c:formatCode>General</c:formatCode>
                <c:ptCount val="8"/>
                <c:pt idx="0">
                  <c:v>20</c:v>
                </c:pt>
                <c:pt idx="1">
                  <c:v>14</c:v>
                </c:pt>
                <c:pt idx="2">
                  <c:v>15</c:v>
                </c:pt>
                <c:pt idx="3">
                  <c:v>9</c:v>
                </c:pt>
                <c:pt idx="4">
                  <c:v>11</c:v>
                </c:pt>
                <c:pt idx="5">
                  <c:v>19</c:v>
                </c:pt>
                <c:pt idx="6">
                  <c:v>16</c:v>
                </c:pt>
                <c:pt idx="7">
                  <c:v>14</c:v>
                </c:pt>
              </c:numCache>
            </c:numRef>
          </c:val>
          <c:extLst>
            <c:ext xmlns:c16="http://schemas.microsoft.com/office/drawing/2014/chart" uri="{C3380CC4-5D6E-409C-BE32-E72D297353CC}">
              <c16:uniqueId val="{00000007-0458-4587-BDFA-E948029A6156}"/>
            </c:ext>
          </c:extLst>
        </c:ser>
        <c:dLbls>
          <c:showLegendKey val="0"/>
          <c:showVal val="0"/>
          <c:showCatName val="0"/>
          <c:showSerName val="0"/>
          <c:showPercent val="0"/>
          <c:showBubbleSize val="0"/>
        </c:dLbls>
        <c:gapWidth val="150"/>
        <c:overlap val="100"/>
        <c:axId val="1665012864"/>
        <c:axId val="1665669872"/>
      </c:barChart>
      <c:catAx>
        <c:axId val="166501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65669872"/>
        <c:crosses val="autoZero"/>
        <c:auto val="1"/>
        <c:lblAlgn val="ctr"/>
        <c:lblOffset val="100"/>
        <c:noMultiLvlLbl val="0"/>
      </c:catAx>
      <c:valAx>
        <c:axId val="166566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6501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Box + Whisker Charge Amount - Outliers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Box + Whisker Charge Amount - Outliers</a:t>
          </a:r>
        </a:p>
      </cx:txPr>
    </cx:title>
    <cx:plotArea>
      <cx:plotAreaRegion>
        <cx:series layoutId="boxWhisker" uniqueId="{11A63E4A-05DD-4D37-82FD-A9073C846C3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500743</xdr:colOff>
      <xdr:row>0</xdr:row>
      <xdr:rowOff>152400</xdr:rowOff>
    </xdr:from>
    <xdr:to>
      <xdr:col>12</xdr:col>
      <xdr:colOff>174171</xdr:colOff>
      <xdr:row>5</xdr:row>
      <xdr:rowOff>141514</xdr:rowOff>
    </xdr:to>
    <xdr:sp macro="" textlink="">
      <xdr:nvSpPr>
        <xdr:cNvPr id="10" name="Rectangle 9">
          <a:extLst>
            <a:ext uri="{FF2B5EF4-FFF2-40B4-BE49-F238E27FC236}">
              <a16:creationId xmlns:a16="http://schemas.microsoft.com/office/drawing/2014/main" id="{DB5C82EB-BC6F-2A03-A685-8DAF47590C51}"/>
            </a:ext>
          </a:extLst>
        </xdr:cNvPr>
        <xdr:cNvSpPr/>
      </xdr:nvSpPr>
      <xdr:spPr>
        <a:xfrm>
          <a:off x="3722914" y="152400"/>
          <a:ext cx="5900057" cy="9144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71175</xdr:colOff>
      <xdr:row>8</xdr:row>
      <xdr:rowOff>1</xdr:rowOff>
    </xdr:from>
    <xdr:to>
      <xdr:col>7</xdr:col>
      <xdr:colOff>477295</xdr:colOff>
      <xdr:row>18</xdr:row>
      <xdr:rowOff>25121</xdr:rowOff>
    </xdr:to>
    <xdr:graphicFrame macro="">
      <xdr:nvGraphicFramePr>
        <xdr:cNvPr id="2" name="Revenue by Clinic">
          <a:extLst>
            <a:ext uri="{FF2B5EF4-FFF2-40B4-BE49-F238E27FC236}">
              <a16:creationId xmlns:a16="http://schemas.microsoft.com/office/drawing/2014/main" id="{E52CF231-FDA6-4D9D-8B2C-0E0BE7EA7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209360</xdr:colOff>
      <xdr:row>6</xdr:row>
      <xdr:rowOff>48401</xdr:rowOff>
    </xdr:from>
    <xdr:to>
      <xdr:col>17</xdr:col>
      <xdr:colOff>249637</xdr:colOff>
      <xdr:row>20</xdr:row>
      <xdr:rowOff>18423</xdr:rowOff>
    </xdr:to>
    <xdr:graphicFrame macro="">
      <xdr:nvGraphicFramePr>
        <xdr:cNvPr id="3" name="Revenue by Treatment">
          <a:extLst>
            <a:ext uri="{FF2B5EF4-FFF2-40B4-BE49-F238E27FC236}">
              <a16:creationId xmlns:a16="http://schemas.microsoft.com/office/drawing/2014/main" id="{0346D432-A5C4-8643-C676-717A53F8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202642</xdr:colOff>
      <xdr:row>21</xdr:row>
      <xdr:rowOff>66675</xdr:rowOff>
    </xdr:from>
    <xdr:to>
      <xdr:col>11</xdr:col>
      <xdr:colOff>179782</xdr:colOff>
      <xdr:row>37</xdr:row>
      <xdr:rowOff>72662</xdr:rowOff>
    </xdr:to>
    <xdr:graphicFrame macro="">
      <xdr:nvGraphicFramePr>
        <xdr:cNvPr id="4" name="Number of visits per clinic by treatments">
          <a:extLst>
            <a:ext uri="{FF2B5EF4-FFF2-40B4-BE49-F238E27FC236}">
              <a16:creationId xmlns:a16="http://schemas.microsoft.com/office/drawing/2014/main" id="{95573A4F-6FAE-BB58-30F4-DE2147831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242079</xdr:colOff>
      <xdr:row>31</xdr:row>
      <xdr:rowOff>95250</xdr:rowOff>
    </xdr:from>
    <xdr:to>
      <xdr:col>16</xdr:col>
      <xdr:colOff>447675</xdr:colOff>
      <xdr:row>35</xdr:row>
      <xdr:rowOff>76200</xdr:rowOff>
    </xdr:to>
    <mc:AlternateContent xmlns:mc="http://schemas.openxmlformats.org/markup-compatibility/2006" xmlns:a14="http://schemas.microsoft.com/office/drawing/2010/main">
      <mc:Choice Requires="a14">
        <xdr:graphicFrame macro="">
          <xdr:nvGraphicFramePr>
            <xdr:cNvPr id="5" name="Clinic_Location">
              <a:extLst>
                <a:ext uri="{FF2B5EF4-FFF2-40B4-BE49-F238E27FC236}">
                  <a16:creationId xmlns:a16="http://schemas.microsoft.com/office/drawing/2014/main" id="{FA76EA19-74EF-AB06-4556-93D19317C684}"/>
                </a:ext>
              </a:extLst>
            </xdr:cNvPr>
            <xdr:cNvGraphicFramePr/>
          </xdr:nvGraphicFramePr>
          <xdr:xfrm>
            <a:off x="0" y="0"/>
            <a:ext cx="0" cy="0"/>
          </xdr:xfrm>
          <a:graphic>
            <a:graphicData uri="http://schemas.microsoft.com/office/drawing/2010/slicer">
              <sle:slicer xmlns:sle="http://schemas.microsoft.com/office/drawing/2010/slicer" name="Clinic_Location"/>
            </a:graphicData>
          </a:graphic>
        </xdr:graphicFrame>
      </mc:Choice>
      <mc:Fallback xmlns="">
        <xdr:sp macro="" textlink="">
          <xdr:nvSpPr>
            <xdr:cNvPr id="0" name=""/>
            <xdr:cNvSpPr>
              <a:spLocks noTextEdit="1"/>
            </xdr:cNvSpPr>
          </xdr:nvSpPr>
          <xdr:spPr>
            <a:xfrm>
              <a:off x="8871729" y="5705475"/>
              <a:ext cx="3253596"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685800</xdr:colOff>
      <xdr:row>1</xdr:row>
      <xdr:rowOff>76201</xdr:rowOff>
    </xdr:from>
    <xdr:ext cx="5539080" cy="655885"/>
    <xdr:sp macro="" textlink="">
      <xdr:nvSpPr>
        <xdr:cNvPr id="6" name="TextBox 5">
          <a:extLst>
            <a:ext uri="{FF2B5EF4-FFF2-40B4-BE49-F238E27FC236}">
              <a16:creationId xmlns:a16="http://schemas.microsoft.com/office/drawing/2014/main" id="{096EFC33-E533-97B5-CA7D-18FD31F2BAD8}"/>
            </a:ext>
          </a:extLst>
        </xdr:cNvPr>
        <xdr:cNvSpPr txBox="1"/>
      </xdr:nvSpPr>
      <xdr:spPr>
        <a:xfrm>
          <a:off x="3722914" y="261258"/>
          <a:ext cx="553908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t>Veterinary Clinic Dashboard</a:t>
          </a:r>
        </a:p>
      </xdr:txBody>
    </xdr:sp>
    <xdr:clientData/>
  </xdr:oneCellAnchor>
  <xdr:oneCellAnchor>
    <xdr:from>
      <xdr:col>13</xdr:col>
      <xdr:colOff>190500</xdr:colOff>
      <xdr:row>25</xdr:row>
      <xdr:rowOff>19050</xdr:rowOff>
    </xdr:from>
    <xdr:ext cx="184731" cy="264560"/>
    <xdr:sp macro="" textlink="">
      <xdr:nvSpPr>
        <xdr:cNvPr id="12" name="TextBox 11">
          <a:extLst>
            <a:ext uri="{FF2B5EF4-FFF2-40B4-BE49-F238E27FC236}">
              <a16:creationId xmlns:a16="http://schemas.microsoft.com/office/drawing/2014/main" id="{360B3B50-C528-CE41-8EAB-0488D8DF965F}"/>
            </a:ext>
          </a:extLst>
        </xdr:cNvPr>
        <xdr:cNvSpPr txBox="1"/>
      </xdr:nvSpPr>
      <xdr:spPr>
        <a:xfrm>
          <a:off x="10039350" y="45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12</xdr:col>
      <xdr:colOff>571500</xdr:colOff>
      <xdr:row>476</xdr:row>
      <xdr:rowOff>19050</xdr:rowOff>
    </xdr:from>
    <xdr:to>
      <xdr:col>19</xdr:col>
      <xdr:colOff>350520</xdr:colOff>
      <xdr:row>497</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7F4FEE7-012D-6D48-5AE6-7025820B7F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597640" y="87085170"/>
              <a:ext cx="4572000" cy="38900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rina J" refreshedDate="46148.669634143516" createdVersion="8" refreshedVersion="8" minRefreshableVersion="3" recordCount="500" xr:uid="{65AD67EE-D97C-4078-B8DB-69D0AF8D2CD1}">
  <cacheSource type="worksheet">
    <worksheetSource name="Vet_Visits"/>
  </cacheSource>
  <cacheFields count="11">
    <cacheField name="Visit_ID" numFmtId="1">
      <sharedItems containsSemiMixedTypes="0" containsString="0" containsNumber="1" containsInteger="1" minValue="1" maxValue="500"/>
    </cacheField>
    <cacheField name="Pet_ID" numFmtId="1">
      <sharedItems containsSemiMixedTypes="0" containsString="0" containsNumber="1" containsInteger="1" minValue="1" maxValue="200"/>
    </cacheField>
    <cacheField name="Owner_ID" numFmtId="1">
      <sharedItems containsSemiMixedTypes="0" containsString="0" containsNumber="1" containsInteger="1" minValue="1" maxValue="150"/>
    </cacheField>
    <cacheField name="Pet_Name" numFmtId="49">
      <sharedItems/>
    </cacheField>
    <cacheField name="Species" numFmtId="0">
      <sharedItems/>
    </cacheField>
    <cacheField name="Breed" numFmtId="49">
      <sharedItems/>
    </cacheField>
    <cacheField name="Visit_Date" numFmtId="14">
      <sharedItems/>
    </cacheField>
    <cacheField name="Treatment" numFmtId="0">
      <sharedItems count="8">
        <s v="Surgery"/>
        <s v="Emergency Visit"/>
        <s v="Annual Bloodwork"/>
        <s v="Dental Cleaning"/>
        <s v="Radiographs"/>
        <s v="Vaccination"/>
        <s v="Office Visit"/>
        <s v="Nail Trim"/>
      </sharedItems>
    </cacheField>
    <cacheField name="Charge_Code" numFmtId="0">
      <sharedItems/>
    </cacheField>
    <cacheField name="Charge_Amount" numFmtId="164">
      <sharedItems containsSemiMixedTypes="0" containsString="0" containsNumber="1" minValue="-294.6327" maxValue="999.62339999999995"/>
    </cacheField>
    <cacheField name="Clinic_Location" numFmtId="0">
      <sharedItems count="3">
        <s v="Rockville"/>
        <s v="Frederick"/>
        <s v="Baltimore"/>
      </sharedItems>
    </cacheField>
  </cacheFields>
  <extLst>
    <ext xmlns:x14="http://schemas.microsoft.com/office/spreadsheetml/2009/9/main" uri="{725AE2AE-9491-48be-B2B4-4EB974FC3084}">
      <x14:pivotCacheDefinition pivotCacheId="1269820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rina J" refreshedDate="46148.67019571759" createdVersion="8" refreshedVersion="8" minRefreshableVersion="3" recordCount="500" xr:uid="{69003B2F-5A4B-4F43-8353-E8079AF6C440}">
  <cacheSource type="worksheet">
    <worksheetSource ref="A1:L501" sheet="Visits Cleaned"/>
  </cacheSource>
  <cacheFields count="12">
    <cacheField name="Visit_ID" numFmtId="0">
      <sharedItems containsSemiMixedTypes="0" containsString="0" containsNumber="1" containsInteger="1" minValue="1" maxValue="500"/>
    </cacheField>
    <cacheField name="Pet_ID" numFmtId="0">
      <sharedItems containsSemiMixedTypes="0" containsString="0" containsNumber="1" containsInteger="1" minValue="1" maxValue="200"/>
    </cacheField>
    <cacheField name="Owner_ID" numFmtId="0">
      <sharedItems containsSemiMixedTypes="0" containsString="0" containsNumber="1" containsInteger="1" minValue="1" maxValue="150"/>
    </cacheField>
    <cacheField name="Pet_Name" numFmtId="0">
      <sharedItems/>
    </cacheField>
    <cacheField name="Species" numFmtId="0">
      <sharedItems count="2">
        <s v="Dog"/>
        <s v="Cat"/>
      </sharedItems>
    </cacheField>
    <cacheField name="Breed" numFmtId="0">
      <sharedItems/>
    </cacheField>
    <cacheField name="Visit_Date" numFmtId="0">
      <sharedItems/>
    </cacheField>
    <cacheField name="Charge_Code" numFmtId="0">
      <sharedItems/>
    </cacheField>
    <cacheField name="Treatment" numFmtId="0">
      <sharedItems count="8">
        <s v="Surgery"/>
        <s v="Emergency Visit"/>
        <s v="Annual Bloodwork"/>
        <s v="Dental Cleaning"/>
        <s v="Radiographs"/>
        <s v="Vaccination"/>
        <s v="Office Visit"/>
        <s v="Nail Trim"/>
      </sharedItems>
    </cacheField>
    <cacheField name="Charge_Amount" numFmtId="2">
      <sharedItems containsSemiMixedTypes="0" containsString="0" containsNumber="1" minValue="-294.6327" maxValue="999.62339999999995"/>
    </cacheField>
    <cacheField name="Clinic_Location" numFmtId="0">
      <sharedItems/>
    </cacheField>
    <cacheField name="Surgery_PostO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47"/>
    <n v="116"/>
    <s v="Winston"/>
    <s v="Dog"/>
    <s v="Shih Tzu"/>
    <s v="03/28/2023"/>
    <x v="0"/>
    <s v="SUR04"/>
    <n v="939.00519999999995"/>
    <x v="0"/>
  </r>
  <r>
    <n v="2"/>
    <n v="25"/>
    <n v="37"/>
    <s v="Ellie"/>
    <s v="Dog"/>
    <s v="German Shepherd"/>
    <s v="01/09/2023"/>
    <x v="1"/>
    <s v="EM06"/>
    <n v="725.98050000000001"/>
    <x v="0"/>
  </r>
  <r>
    <n v="3"/>
    <n v="22"/>
    <n v="35"/>
    <s v="Rocky"/>
    <s v="Dog"/>
    <s v="Beagle"/>
    <s v="11/14/2023"/>
    <x v="2"/>
    <s v="BW07"/>
    <n v="349.35950000000003"/>
    <x v="1"/>
  </r>
  <r>
    <n v="4"/>
    <n v="63"/>
    <n v="66"/>
    <s v="Ellie"/>
    <s v="Cat"/>
    <s v="Yorkshire Terrier"/>
    <s v="01/02/2023"/>
    <x v="1"/>
    <s v="EM06"/>
    <n v="78.241799999999998"/>
    <x v="1"/>
  </r>
  <r>
    <n v="5"/>
    <n v="18"/>
    <n v="101"/>
    <s v="Riley"/>
    <s v="Dog"/>
    <s v="Border Collie"/>
    <s v="11/05/2023"/>
    <x v="3"/>
    <s v="DEN02"/>
    <n v="480.2783"/>
    <x v="1"/>
  </r>
  <r>
    <n v="6"/>
    <n v="71"/>
    <n v="131"/>
    <s v="Shadow"/>
    <s v="Cat"/>
    <s v="Chihuahua"/>
    <s v="10/19/2023"/>
    <x v="4"/>
    <s v="RAD08"/>
    <n v="937.5625"/>
    <x v="0"/>
  </r>
  <r>
    <n v="7"/>
    <n v="92"/>
    <n v="75"/>
    <s v="Rosie"/>
    <s v="Dog"/>
    <s v="Poodle"/>
    <s v="01/29/2023"/>
    <x v="5"/>
    <s v="VAC01"/>
    <n v="650.0059"/>
    <x v="1"/>
  </r>
  <r>
    <n v="8"/>
    <n v="12"/>
    <n v="2"/>
    <s v="Nova"/>
    <s v="Dog"/>
    <s v="Labrador Retriever"/>
    <s v="04/07/2023"/>
    <x v="6"/>
    <s v="CHK03"/>
    <n v="-244.71960000000001"/>
    <x v="1"/>
  </r>
  <r>
    <n v="9"/>
    <n v="192"/>
    <n v="107"/>
    <s v="Loki"/>
    <s v="Dog"/>
    <s v="Ragdoll"/>
    <s v="11/20/2023"/>
    <x v="3"/>
    <s v="DEN02"/>
    <n v="249.92140000000001"/>
    <x v="0"/>
  </r>
  <r>
    <n v="10"/>
    <n v="92"/>
    <n v="20"/>
    <s v="Winston"/>
    <s v="Dog"/>
    <s v="Border Collie"/>
    <s v="05/28/2023"/>
    <x v="7"/>
    <s v="NT05"/>
    <n v="866.72609999999997"/>
    <x v="1"/>
  </r>
  <r>
    <n v="11"/>
    <n v="124"/>
    <n v="72"/>
    <s v="Max"/>
    <s v="Dog"/>
    <s v="Scottish Fold"/>
    <s v="06/01/2023"/>
    <x v="6"/>
    <s v="CHK03"/>
    <n v="738.04129999999998"/>
    <x v="1"/>
  </r>
  <r>
    <n v="12"/>
    <n v="17"/>
    <n v="117"/>
    <s v="Oliver"/>
    <s v="Dog"/>
    <s v="Shih Tzu"/>
    <s v="08/08/2023"/>
    <x v="6"/>
    <s v="CHK03"/>
    <n v="66.0608"/>
    <x v="2"/>
  </r>
  <r>
    <n v="13"/>
    <n v="73"/>
    <n v="23"/>
    <s v="Bentley"/>
    <s v="Dog"/>
    <s v="British Shorthair"/>
    <s v="03/19/2023"/>
    <x v="4"/>
    <s v="RAD08"/>
    <n v="228.29949999999999"/>
    <x v="2"/>
  </r>
  <r>
    <n v="14"/>
    <n v="14"/>
    <n v="2"/>
    <s v="Rocky"/>
    <s v="Dog"/>
    <s v="Cocker Spaniel"/>
    <s v="04/02/2023"/>
    <x v="5"/>
    <s v="VAC01"/>
    <n v="500.18799999999999"/>
    <x v="1"/>
  </r>
  <r>
    <n v="15"/>
    <n v="171"/>
    <n v="20"/>
    <s v="Coco"/>
    <s v="Dog"/>
    <s v="Great Dane"/>
    <s v="03/02/2023"/>
    <x v="0"/>
    <s v="SUR04"/>
    <n v="-290.9812"/>
    <x v="2"/>
  </r>
  <r>
    <n v="16"/>
    <n v="59"/>
    <n v="80"/>
    <s v="Charlie"/>
    <s v="Dog"/>
    <s v="Poodle"/>
    <s v="10/29/2023"/>
    <x v="4"/>
    <s v="RAD08"/>
    <n v="588.9633"/>
    <x v="0"/>
  </r>
  <r>
    <n v="17"/>
    <n v="181"/>
    <n v="139"/>
    <s v="Max"/>
    <s v="Cat"/>
    <s v="Shih Tzu"/>
    <s v="03/11/2023"/>
    <x v="1"/>
    <s v="EM06"/>
    <n v="364.0403"/>
    <x v="1"/>
  </r>
  <r>
    <n v="18"/>
    <n v="157"/>
    <n v="70"/>
    <s v="Oreo"/>
    <s v="Cat"/>
    <s v="Rottweiler"/>
    <s v="05/31/2023"/>
    <x v="2"/>
    <s v="BW07"/>
    <n v="387.50560000000002"/>
    <x v="0"/>
  </r>
  <r>
    <n v="19"/>
    <n v="8"/>
    <n v="95"/>
    <s v="Blue"/>
    <s v="Cat"/>
    <s v="Doberman Pinscher"/>
    <s v="05/27/2023"/>
    <x v="1"/>
    <s v="EM06"/>
    <n v="879.72659999999996"/>
    <x v="1"/>
  </r>
  <r>
    <n v="20"/>
    <n v="173"/>
    <n v="25"/>
    <s v="Rocky"/>
    <s v="Cat"/>
    <s v="Siamese"/>
    <s v="02/27/2023"/>
    <x v="7"/>
    <s v="NT05"/>
    <n v="246.51490000000001"/>
    <x v="1"/>
  </r>
  <r>
    <n v="21"/>
    <n v="200"/>
    <n v="127"/>
    <s v="Finn"/>
    <s v="Dog"/>
    <s v="Yorkshire Terrier"/>
    <s v="07/05/2023"/>
    <x v="0"/>
    <s v="SUR04"/>
    <n v="999.62339999999995"/>
    <x v="2"/>
  </r>
  <r>
    <n v="22"/>
    <n v="3"/>
    <n v="33"/>
    <s v="Moose"/>
    <s v="Cat"/>
    <s v="Poodle"/>
    <s v="10/15/2023"/>
    <x v="3"/>
    <s v="DEN02"/>
    <n v="-206.3467"/>
    <x v="0"/>
  </r>
  <r>
    <n v="23"/>
    <n v="59"/>
    <n v="119"/>
    <s v="Atlas"/>
    <s v="Dog"/>
    <s v="Boxer"/>
    <s v="12/03/2023"/>
    <x v="5"/>
    <s v="VAC01"/>
    <n v="248.83539999999999"/>
    <x v="0"/>
  </r>
  <r>
    <n v="24"/>
    <n v="92"/>
    <n v="138"/>
    <s v="Duke"/>
    <s v="Cat"/>
    <s v="Abyssinian"/>
    <s v="10/23/2023"/>
    <x v="4"/>
    <s v="RAD08"/>
    <n v="-288.69110000000001"/>
    <x v="0"/>
  </r>
  <r>
    <n v="25"/>
    <n v="35"/>
    <n v="114"/>
    <s v="Remy"/>
    <s v="Cat"/>
    <s v="Abyssinian"/>
    <s v="07/17/2023"/>
    <x v="0"/>
    <s v="SUR04"/>
    <n v="-63.622900000000001"/>
    <x v="1"/>
  </r>
  <r>
    <n v="26"/>
    <n v="21"/>
    <n v="122"/>
    <s v="Lucy"/>
    <s v="Cat"/>
    <s v="Boston Terrier"/>
    <s v="02/11/2023"/>
    <x v="1"/>
    <s v="EM06"/>
    <n v="733.42840000000001"/>
    <x v="1"/>
  </r>
  <r>
    <n v="27"/>
    <n v="84"/>
    <n v="34"/>
    <s v="Finn"/>
    <s v="Dog"/>
    <s v="Persian"/>
    <s v="09/25/2023"/>
    <x v="7"/>
    <s v="NT05"/>
    <n v="652.8297"/>
    <x v="2"/>
  </r>
  <r>
    <n v="28"/>
    <n v="47"/>
    <n v="57"/>
    <s v="Bentley"/>
    <s v="Dog"/>
    <s v="Border Collie"/>
    <s v="04/11/2023"/>
    <x v="2"/>
    <s v="BW07"/>
    <n v="514.86339999999996"/>
    <x v="0"/>
  </r>
  <r>
    <n v="29"/>
    <n v="18"/>
    <n v="104"/>
    <s v="Winston"/>
    <s v="Dog"/>
    <s v="Sphynx"/>
    <s v="11/13/2023"/>
    <x v="6"/>
    <s v="CHK03"/>
    <n v="6.1393000000000004"/>
    <x v="0"/>
  </r>
  <r>
    <n v="30"/>
    <n v="54"/>
    <n v="79"/>
    <s v="Tucker"/>
    <s v="Dog"/>
    <s v="Chihuahua"/>
    <s v="05/26/2023"/>
    <x v="6"/>
    <s v="CHK03"/>
    <n v="112.3904"/>
    <x v="2"/>
  </r>
  <r>
    <n v="31"/>
    <n v="46"/>
    <n v="147"/>
    <s v="Moose"/>
    <s v="Dog"/>
    <s v="Bulldog"/>
    <s v="01/01/2023"/>
    <x v="5"/>
    <s v="VAC01"/>
    <n v="777.28390000000002"/>
    <x v="1"/>
  </r>
  <r>
    <n v="32"/>
    <n v="137"/>
    <n v="134"/>
    <s v="Scout"/>
    <s v="Dog"/>
    <s v="Beagle"/>
    <s v="04/26/2023"/>
    <x v="5"/>
    <s v="VAC01"/>
    <n v="-96.376199999999997"/>
    <x v="1"/>
  </r>
  <r>
    <n v="33"/>
    <n v="146"/>
    <n v="18"/>
    <s v="Thor"/>
    <s v="Dog"/>
    <s v="Maine Coon"/>
    <s v="11/15/2023"/>
    <x v="1"/>
    <s v="EM06"/>
    <n v="-80.761499999999998"/>
    <x v="1"/>
  </r>
  <r>
    <n v="34"/>
    <n v="38"/>
    <n v="115"/>
    <s v="Max"/>
    <s v="Dog"/>
    <s v="Bengal"/>
    <s v="07/29/2023"/>
    <x v="1"/>
    <s v="EM06"/>
    <n v="-113.2574"/>
    <x v="1"/>
  </r>
  <r>
    <n v="35"/>
    <n v="111"/>
    <n v="119"/>
    <s v="Cooper"/>
    <s v="Cat"/>
    <s v="Great Dane"/>
    <s v="03/25/2023"/>
    <x v="0"/>
    <s v="SUR04"/>
    <n v="467.91059999999999"/>
    <x v="1"/>
  </r>
  <r>
    <n v="36"/>
    <n v="173"/>
    <n v="136"/>
    <s v="Charlie"/>
    <s v="Cat"/>
    <s v="Sphynx"/>
    <s v="10/02/2023"/>
    <x v="0"/>
    <s v="SUR04"/>
    <n v="351.74669999999998"/>
    <x v="0"/>
  </r>
  <r>
    <n v="37"/>
    <n v="159"/>
    <n v="147"/>
    <s v="Oreo"/>
    <s v="Cat"/>
    <s v="Shih Tzu"/>
    <s v="11/06/2023"/>
    <x v="1"/>
    <s v="EM06"/>
    <n v="-250.7664"/>
    <x v="1"/>
  </r>
  <r>
    <n v="38"/>
    <n v="193"/>
    <n v="58"/>
    <s v="Oreo"/>
    <s v="Dog"/>
    <s v="Cocker Spaniel"/>
    <s v="09/18/2023"/>
    <x v="1"/>
    <s v="EM06"/>
    <n v="-29.6434"/>
    <x v="2"/>
  </r>
  <r>
    <n v="39"/>
    <n v="142"/>
    <n v="82"/>
    <s v="Rocky"/>
    <s v="Dog"/>
    <s v="Rottweiler"/>
    <s v="03/21/2023"/>
    <x v="7"/>
    <s v="NT05"/>
    <n v="249.845"/>
    <x v="0"/>
  </r>
  <r>
    <n v="40"/>
    <n v="50"/>
    <n v="108"/>
    <s v="Stella"/>
    <s v="Dog"/>
    <s v="Boxer"/>
    <s v="09/06/2023"/>
    <x v="4"/>
    <s v="RAD08"/>
    <n v="923.01400000000001"/>
    <x v="1"/>
  </r>
  <r>
    <n v="41"/>
    <n v="32"/>
    <n v="142"/>
    <s v="Jax"/>
    <s v="Dog"/>
    <s v="German Shepherd"/>
    <s v="12/26/2023"/>
    <x v="6"/>
    <s v="CHK03"/>
    <n v="453.3372"/>
    <x v="2"/>
  </r>
  <r>
    <n v="42"/>
    <n v="36"/>
    <n v="71"/>
    <s v="Bailey"/>
    <s v="Cat"/>
    <s v="Abyssinian"/>
    <s v="10/19/2023"/>
    <x v="5"/>
    <s v="VAC01"/>
    <n v="338.14049999999997"/>
    <x v="0"/>
  </r>
  <r>
    <n v="43"/>
    <n v="7"/>
    <n v="91"/>
    <s v="Cooper"/>
    <s v="Dog"/>
    <s v="Dachshund"/>
    <s v="03/12/2023"/>
    <x v="1"/>
    <s v="EM06"/>
    <n v="177.42599999999999"/>
    <x v="0"/>
  </r>
  <r>
    <n v="44"/>
    <n v="93"/>
    <n v="21"/>
    <s v="Charlie"/>
    <s v="Cat"/>
    <s v="Abyssinian"/>
    <s v="06/04/2023"/>
    <x v="3"/>
    <s v="DEN02"/>
    <n v="-244.16659999999999"/>
    <x v="2"/>
  </r>
  <r>
    <n v="45"/>
    <n v="20"/>
    <n v="145"/>
    <s v="Oliver"/>
    <s v="Cat"/>
    <s v="Boxer"/>
    <s v="01/16/2023"/>
    <x v="6"/>
    <s v="CHK03"/>
    <n v="-258.68130000000002"/>
    <x v="1"/>
  </r>
  <r>
    <n v="46"/>
    <n v="7"/>
    <n v="27"/>
    <s v="Bentley"/>
    <s v="Dog"/>
    <s v="French Bulldog"/>
    <s v="01/19/2023"/>
    <x v="6"/>
    <s v="CHK03"/>
    <n v="-16.712499999999999"/>
    <x v="1"/>
  </r>
  <r>
    <n v="47"/>
    <n v="75"/>
    <n v="86"/>
    <s v="Bentley"/>
    <s v="Cat"/>
    <s v="Scottish Fold"/>
    <s v="04/14/2023"/>
    <x v="5"/>
    <s v="VAC01"/>
    <n v="550.25019999999995"/>
    <x v="1"/>
  </r>
  <r>
    <n v="48"/>
    <n v="23"/>
    <n v="117"/>
    <s v="Cooper"/>
    <s v="Cat"/>
    <s v="Poodle"/>
    <s v="08/31/2023"/>
    <x v="6"/>
    <s v="CHK03"/>
    <n v="-256.26909999999998"/>
    <x v="2"/>
  </r>
  <r>
    <n v="49"/>
    <n v="127"/>
    <n v="61"/>
    <s v="Nala"/>
    <s v="Cat"/>
    <s v="Dachshund"/>
    <s v="03/10/2023"/>
    <x v="7"/>
    <s v="NT05"/>
    <n v="785.48889999999994"/>
    <x v="1"/>
  </r>
  <r>
    <n v="50"/>
    <n v="128"/>
    <n v="29"/>
    <s v="Finn"/>
    <s v="Cat"/>
    <s v="Beagle"/>
    <s v="10/14/2023"/>
    <x v="5"/>
    <s v="VAC01"/>
    <n v="-125.916"/>
    <x v="2"/>
  </r>
  <r>
    <n v="51"/>
    <n v="143"/>
    <n v="77"/>
    <s v="Daisy"/>
    <s v="Cat"/>
    <s v="Sphynx"/>
    <s v="08/05/2023"/>
    <x v="6"/>
    <s v="CHK03"/>
    <n v="135.88939999999999"/>
    <x v="1"/>
  </r>
  <r>
    <n v="52"/>
    <n v="192"/>
    <n v="49"/>
    <s v="Cooper"/>
    <s v="Cat"/>
    <s v="Ragdoll"/>
    <s v="06/12/2023"/>
    <x v="7"/>
    <s v="NT05"/>
    <n v="-219.43379999999999"/>
    <x v="1"/>
  </r>
  <r>
    <n v="53"/>
    <n v="75"/>
    <n v="14"/>
    <s v="Cooper"/>
    <s v="Cat"/>
    <s v="Golden Retriever"/>
    <s v="08/01/2023"/>
    <x v="7"/>
    <s v="NT05"/>
    <n v="643.41369999999995"/>
    <x v="1"/>
  </r>
  <r>
    <n v="54"/>
    <n v="191"/>
    <n v="33"/>
    <s v="Winston"/>
    <s v="Cat"/>
    <s v="Dachshund"/>
    <s v="06/04/2023"/>
    <x v="1"/>
    <s v="EM06"/>
    <n v="529.73260000000005"/>
    <x v="1"/>
  </r>
  <r>
    <n v="55"/>
    <n v="200"/>
    <n v="65"/>
    <s v="Zoey"/>
    <s v="Cat"/>
    <s v="Ragdoll"/>
    <s v="12/14/2023"/>
    <x v="1"/>
    <s v="EM06"/>
    <n v="-199.5264"/>
    <x v="1"/>
  </r>
  <r>
    <n v="56"/>
    <n v="152"/>
    <n v="42"/>
    <s v="Milo"/>
    <s v="Cat"/>
    <s v="Abyssinian"/>
    <s v="09/21/2023"/>
    <x v="5"/>
    <s v="VAC01"/>
    <n v="-256.82279999999997"/>
    <x v="1"/>
  </r>
  <r>
    <n v="57"/>
    <n v="41"/>
    <n v="53"/>
    <s v="Duke"/>
    <s v="Dog"/>
    <s v="Siberian Husky"/>
    <s v="03/23/2023"/>
    <x v="1"/>
    <s v="EM06"/>
    <n v="742.71910000000003"/>
    <x v="0"/>
  </r>
  <r>
    <n v="58"/>
    <n v="118"/>
    <n v="79"/>
    <s v="Oreo"/>
    <s v="Dog"/>
    <s v="Boston Terrier"/>
    <s v="04/18/2023"/>
    <x v="0"/>
    <s v="SUR04"/>
    <n v="-25.616199999999999"/>
    <x v="1"/>
  </r>
  <r>
    <n v="59"/>
    <n v="99"/>
    <n v="134"/>
    <s v="Pepper"/>
    <s v="Dog"/>
    <s v="Shih Tzu"/>
    <s v="05/22/2023"/>
    <x v="4"/>
    <s v="RAD08"/>
    <n v="785.63409999999999"/>
    <x v="0"/>
  </r>
  <r>
    <n v="60"/>
    <n v="38"/>
    <n v="10"/>
    <s v="Rocky"/>
    <s v="Cat"/>
    <s v="Border Collie"/>
    <s v="07/23/2023"/>
    <x v="7"/>
    <s v="NT05"/>
    <n v="773.23950000000002"/>
    <x v="1"/>
  </r>
  <r>
    <n v="61"/>
    <n v="38"/>
    <n v="34"/>
    <s v="Charlie"/>
    <s v="Cat"/>
    <s v="German Shepherd"/>
    <s v="09/17/2023"/>
    <x v="5"/>
    <s v="VAC01"/>
    <n v="-20.602699999999999"/>
    <x v="2"/>
  </r>
  <r>
    <n v="62"/>
    <n v="83"/>
    <n v="132"/>
    <s v="Luna"/>
    <s v="Dog"/>
    <s v="Boxer"/>
    <s v="04/08/2023"/>
    <x v="1"/>
    <s v="EM06"/>
    <n v="446.61790000000002"/>
    <x v="1"/>
  </r>
  <r>
    <n v="63"/>
    <n v="89"/>
    <n v="107"/>
    <s v="Thor"/>
    <s v="Cat"/>
    <s v="Sphynx"/>
    <s v="09/25/2023"/>
    <x v="3"/>
    <s v="DEN02"/>
    <n v="915.48050000000001"/>
    <x v="0"/>
  </r>
  <r>
    <n v="64"/>
    <n v="151"/>
    <n v="98"/>
    <s v="Ellie"/>
    <s v="Dog"/>
    <s v="Russian Blue"/>
    <s v="01/26/2023"/>
    <x v="4"/>
    <s v="RAD08"/>
    <n v="-287.96890000000002"/>
    <x v="0"/>
  </r>
  <r>
    <n v="65"/>
    <n v="164"/>
    <n v="77"/>
    <s v="Bella"/>
    <s v="Cat"/>
    <s v="Abyssinian"/>
    <s v="01/22/2023"/>
    <x v="2"/>
    <s v="BW07"/>
    <n v="353.38470000000001"/>
    <x v="2"/>
  </r>
  <r>
    <n v="66"/>
    <n v="124"/>
    <n v="100"/>
    <s v="Nala"/>
    <s v="Cat"/>
    <s v="Boxer"/>
    <s v="07/07/2023"/>
    <x v="7"/>
    <s v="NT05"/>
    <n v="45.528799999999997"/>
    <x v="1"/>
  </r>
  <r>
    <n v="67"/>
    <n v="186"/>
    <n v="63"/>
    <s v="Ellie"/>
    <s v="Cat"/>
    <s v="British Shorthair"/>
    <s v="07/27/2023"/>
    <x v="0"/>
    <s v="SUR04"/>
    <n v="573.40300000000002"/>
    <x v="1"/>
  </r>
  <r>
    <n v="68"/>
    <n v="115"/>
    <n v="126"/>
    <s v="Luna"/>
    <s v="Dog"/>
    <s v="Siberian Husky"/>
    <s v="07/06/2023"/>
    <x v="3"/>
    <s v="DEN02"/>
    <n v="-237.63839999999999"/>
    <x v="2"/>
  </r>
  <r>
    <n v="69"/>
    <n v="152"/>
    <n v="68"/>
    <s v="Nala"/>
    <s v="Cat"/>
    <s v="Boxer"/>
    <s v="01/28/2023"/>
    <x v="5"/>
    <s v="VAC01"/>
    <n v="-217.32579999999999"/>
    <x v="0"/>
  </r>
  <r>
    <n v="70"/>
    <n v="109"/>
    <n v="40"/>
    <s v="Moose"/>
    <s v="Cat"/>
    <s v="Cocker Spaniel"/>
    <s v="04/25/2023"/>
    <x v="6"/>
    <s v="CHK03"/>
    <n v="165.2636"/>
    <x v="1"/>
  </r>
  <r>
    <n v="71"/>
    <n v="80"/>
    <n v="28"/>
    <s v="Stella"/>
    <s v="Cat"/>
    <s v="Dachshund"/>
    <s v="03/04/2023"/>
    <x v="4"/>
    <s v="RAD08"/>
    <n v="-160.13210000000001"/>
    <x v="1"/>
  </r>
  <r>
    <n v="72"/>
    <n v="65"/>
    <n v="5"/>
    <s v="Tucker"/>
    <s v="Cat"/>
    <s v="Yorkshire Terrier"/>
    <s v="09/11/2023"/>
    <x v="5"/>
    <s v="VAC01"/>
    <n v="-17.937899999999999"/>
    <x v="0"/>
  </r>
  <r>
    <n v="73"/>
    <n v="42"/>
    <n v="68"/>
    <s v="Cooper"/>
    <s v="Cat"/>
    <s v="Ragdoll"/>
    <s v="01/29/2023"/>
    <x v="3"/>
    <s v="DEN02"/>
    <n v="317.16789999999997"/>
    <x v="2"/>
  </r>
  <r>
    <n v="74"/>
    <n v="172"/>
    <n v="39"/>
    <s v="Shadow"/>
    <s v="Cat"/>
    <s v="Australian Shepherd"/>
    <s v="05/07/2023"/>
    <x v="2"/>
    <s v="BW07"/>
    <n v="521.37620000000004"/>
    <x v="2"/>
  </r>
  <r>
    <n v="75"/>
    <n v="189"/>
    <n v="35"/>
    <s v="Blue"/>
    <s v="Cat"/>
    <s v="German Shepherd"/>
    <s v="05/14/2023"/>
    <x v="0"/>
    <s v="SUR04"/>
    <n v="-208.702"/>
    <x v="2"/>
  </r>
  <r>
    <n v="76"/>
    <n v="37"/>
    <n v="114"/>
    <s v="Atlas"/>
    <s v="Cat"/>
    <s v="Labrador Retriever"/>
    <s v="03/30/2023"/>
    <x v="0"/>
    <s v="SUR04"/>
    <n v="506.1814"/>
    <x v="0"/>
  </r>
  <r>
    <n v="77"/>
    <n v="167"/>
    <n v="2"/>
    <s v="Bailey"/>
    <s v="Cat"/>
    <s v="British Shorthair"/>
    <s v="02/10/2023"/>
    <x v="7"/>
    <s v="NT05"/>
    <n v="686.68769999999995"/>
    <x v="2"/>
  </r>
  <r>
    <n v="78"/>
    <n v="142"/>
    <n v="62"/>
    <s v="Marley"/>
    <s v="Cat"/>
    <s v="Abyssinian"/>
    <s v="01/14/2023"/>
    <x v="4"/>
    <s v="RAD08"/>
    <n v="270.72250000000003"/>
    <x v="1"/>
  </r>
  <r>
    <n v="79"/>
    <n v="122"/>
    <n v="73"/>
    <s v="Luna"/>
    <s v="Cat"/>
    <s v="Cocker Spaniel"/>
    <s v="07/25/2023"/>
    <x v="1"/>
    <s v="EM06"/>
    <n v="419.98489999999998"/>
    <x v="1"/>
  </r>
  <r>
    <n v="80"/>
    <n v="115"/>
    <n v="16"/>
    <s v="Ace"/>
    <s v="Cat"/>
    <s v="Bengal"/>
    <s v="03/03/2023"/>
    <x v="7"/>
    <s v="NT05"/>
    <n v="-34.894399999999997"/>
    <x v="2"/>
  </r>
  <r>
    <n v="81"/>
    <n v="153"/>
    <n v="78"/>
    <s v="Lucy"/>
    <s v="Cat"/>
    <s v="Boxer"/>
    <s v="05/07/2023"/>
    <x v="6"/>
    <s v="CHK03"/>
    <n v="55.672800000000002"/>
    <x v="0"/>
  </r>
  <r>
    <n v="82"/>
    <n v="142"/>
    <n v="147"/>
    <s v="Winston"/>
    <s v="Cat"/>
    <s v="Rottweiler"/>
    <s v="06/21/2023"/>
    <x v="4"/>
    <s v="RAD08"/>
    <n v="567.61080000000004"/>
    <x v="1"/>
  </r>
  <r>
    <n v="83"/>
    <n v="15"/>
    <n v="44"/>
    <s v="Pepper"/>
    <s v="Dog"/>
    <s v="Border Collie"/>
    <s v="07/28/2023"/>
    <x v="5"/>
    <s v="VAC01"/>
    <n v="728.22280000000001"/>
    <x v="2"/>
  </r>
  <r>
    <n v="84"/>
    <n v="117"/>
    <n v="137"/>
    <s v="Sadie"/>
    <s v="Dog"/>
    <s v="Australian Shepherd"/>
    <s v="02/14/2023"/>
    <x v="5"/>
    <s v="VAC01"/>
    <n v="220.16040000000001"/>
    <x v="0"/>
  </r>
  <r>
    <n v="85"/>
    <n v="52"/>
    <n v="71"/>
    <s v="Zeus"/>
    <s v="Cat"/>
    <s v="Shih Tzu"/>
    <s v="11/10/2023"/>
    <x v="4"/>
    <s v="RAD08"/>
    <n v="403.38010000000003"/>
    <x v="2"/>
  </r>
  <r>
    <n v="86"/>
    <n v="185"/>
    <n v="66"/>
    <s v="Rocky"/>
    <s v="Dog"/>
    <s v="Abyssinian"/>
    <s v="07/27/2023"/>
    <x v="4"/>
    <s v="RAD08"/>
    <n v="94.097099999999998"/>
    <x v="1"/>
  </r>
  <r>
    <n v="87"/>
    <n v="13"/>
    <n v="39"/>
    <s v="Stella"/>
    <s v="Dog"/>
    <s v="Bengal"/>
    <s v="12/06/2023"/>
    <x v="2"/>
    <s v="BW07"/>
    <n v="742.71019999999999"/>
    <x v="1"/>
  </r>
  <r>
    <n v="88"/>
    <n v="150"/>
    <n v="98"/>
    <s v="Riley"/>
    <s v="Dog"/>
    <s v="Abyssinian"/>
    <s v="10/14/2023"/>
    <x v="2"/>
    <s v="BW07"/>
    <n v="31.267600000000002"/>
    <x v="0"/>
  </r>
  <r>
    <n v="89"/>
    <n v="96"/>
    <n v="67"/>
    <s v="Oliver"/>
    <s v="Dog"/>
    <s v="Chihuahua"/>
    <s v="09/18/2023"/>
    <x v="0"/>
    <s v="SUR04"/>
    <n v="-170.65270000000001"/>
    <x v="1"/>
  </r>
  <r>
    <n v="90"/>
    <n v="65"/>
    <n v="57"/>
    <s v="Murphy"/>
    <s v="Dog"/>
    <s v="Chihuahua"/>
    <s v="09/20/2023"/>
    <x v="0"/>
    <s v="SUR04"/>
    <n v="867.29380000000003"/>
    <x v="1"/>
  </r>
  <r>
    <n v="91"/>
    <n v="142"/>
    <n v="70"/>
    <s v="Jax"/>
    <s v="Cat"/>
    <s v="Cocker Spaniel"/>
    <s v="06/24/2023"/>
    <x v="4"/>
    <s v="RAD08"/>
    <n v="756.24950000000001"/>
    <x v="0"/>
  </r>
  <r>
    <n v="92"/>
    <n v="62"/>
    <n v="76"/>
    <s v="Chloe"/>
    <s v="Dog"/>
    <s v="Poodle"/>
    <s v="02/08/2023"/>
    <x v="6"/>
    <s v="CHK03"/>
    <n v="686.51580000000001"/>
    <x v="0"/>
  </r>
  <r>
    <n v="93"/>
    <n v="144"/>
    <n v="73"/>
    <s v="Oliver"/>
    <s v="Dog"/>
    <s v="German Shepherd"/>
    <s v="12/24/2023"/>
    <x v="4"/>
    <s v="RAD08"/>
    <n v="667.69730000000004"/>
    <x v="0"/>
  </r>
  <r>
    <n v="94"/>
    <n v="150"/>
    <n v="104"/>
    <s v="Charlie"/>
    <s v="Cat"/>
    <s v="Siberian Husky"/>
    <s v="12/26/2023"/>
    <x v="5"/>
    <s v="VAC01"/>
    <n v="19.926500000000001"/>
    <x v="1"/>
  </r>
  <r>
    <n v="95"/>
    <n v="62"/>
    <n v="37"/>
    <s v="Koda"/>
    <s v="Dog"/>
    <s v="Beagle"/>
    <s v="08/29/2023"/>
    <x v="2"/>
    <s v="BW07"/>
    <n v="-56.112699999999997"/>
    <x v="0"/>
  </r>
  <r>
    <n v="96"/>
    <n v="14"/>
    <n v="76"/>
    <s v="Nova"/>
    <s v="Cat"/>
    <s v="Scottish Fold"/>
    <s v="06/04/2023"/>
    <x v="2"/>
    <s v="BW07"/>
    <n v="299.9418"/>
    <x v="0"/>
  </r>
  <r>
    <n v="97"/>
    <n v="200"/>
    <n v="47"/>
    <s v="Remy"/>
    <s v="Cat"/>
    <s v="French Bulldog"/>
    <s v="06/12/2023"/>
    <x v="3"/>
    <s v="DEN02"/>
    <n v="908.0095"/>
    <x v="1"/>
  </r>
  <r>
    <n v="98"/>
    <n v="24"/>
    <n v="125"/>
    <s v="Moose"/>
    <s v="Dog"/>
    <s v="Scottish Fold"/>
    <s v="03/06/2023"/>
    <x v="5"/>
    <s v="VAC01"/>
    <n v="108.58969999999999"/>
    <x v="1"/>
  </r>
  <r>
    <n v="99"/>
    <n v="82"/>
    <n v="77"/>
    <s v="Gizmo"/>
    <s v="Cat"/>
    <s v="Rottweiler"/>
    <s v="03/27/2023"/>
    <x v="3"/>
    <s v="DEN02"/>
    <n v="806.5077"/>
    <x v="1"/>
  </r>
  <r>
    <n v="100"/>
    <n v="52"/>
    <n v="98"/>
    <s v="Nala"/>
    <s v="Cat"/>
    <s v="Doberman Pinscher"/>
    <s v="11/21/2023"/>
    <x v="2"/>
    <s v="BW07"/>
    <n v="-161.25380000000001"/>
    <x v="1"/>
  </r>
  <r>
    <n v="101"/>
    <n v="125"/>
    <n v="77"/>
    <s v="Rosie"/>
    <s v="Dog"/>
    <s v="British Shorthair"/>
    <s v="12/11/2023"/>
    <x v="5"/>
    <s v="VAC01"/>
    <n v="112.2957"/>
    <x v="2"/>
  </r>
  <r>
    <n v="102"/>
    <n v="69"/>
    <n v="75"/>
    <s v="Thor"/>
    <s v="Cat"/>
    <s v="Beagle"/>
    <s v="11/16/2023"/>
    <x v="7"/>
    <s v="NT05"/>
    <n v="857.33460000000002"/>
    <x v="2"/>
  </r>
  <r>
    <n v="103"/>
    <n v="110"/>
    <n v="37"/>
    <s v="Tucker"/>
    <s v="Dog"/>
    <s v="Great Dane"/>
    <s v="10/07/2023"/>
    <x v="1"/>
    <s v="EM06"/>
    <n v="295.71350000000001"/>
    <x v="2"/>
  </r>
  <r>
    <n v="104"/>
    <n v="1"/>
    <n v="1"/>
    <s v="Coco"/>
    <s v="Dog"/>
    <s v="Siamese"/>
    <s v="11/27/2023"/>
    <x v="0"/>
    <s v="SUR04"/>
    <n v="-288.42680000000001"/>
    <x v="1"/>
  </r>
  <r>
    <n v="105"/>
    <n v="156"/>
    <n v="112"/>
    <s v="Pepper"/>
    <s v="Dog"/>
    <s v="Doberman Pinscher"/>
    <s v="05/22/2023"/>
    <x v="7"/>
    <s v="NT05"/>
    <n v="425.30349999999999"/>
    <x v="0"/>
  </r>
  <r>
    <n v="106"/>
    <n v="144"/>
    <n v="131"/>
    <s v="Bailey"/>
    <s v="Dog"/>
    <s v="Australian Shepherd"/>
    <s v="08/15/2023"/>
    <x v="5"/>
    <s v="VAC01"/>
    <n v="-179.93209999999999"/>
    <x v="0"/>
  </r>
  <r>
    <n v="107"/>
    <n v="46"/>
    <n v="106"/>
    <s v="Finn"/>
    <s v="Dog"/>
    <s v="Abyssinian"/>
    <s v="11/07/2023"/>
    <x v="4"/>
    <s v="RAD08"/>
    <n v="984.02539999999999"/>
    <x v="2"/>
  </r>
  <r>
    <n v="108"/>
    <n v="32"/>
    <n v="6"/>
    <s v="Murphy"/>
    <s v="Dog"/>
    <s v="Chihuahua"/>
    <s v="07/27/2023"/>
    <x v="0"/>
    <s v="SUR04"/>
    <n v="516.75130000000001"/>
    <x v="0"/>
  </r>
  <r>
    <n v="109"/>
    <n v="80"/>
    <n v="116"/>
    <s v="Sadie"/>
    <s v="Cat"/>
    <s v="Border Collie"/>
    <s v="10/03/2023"/>
    <x v="7"/>
    <s v="NT05"/>
    <n v="242.7064"/>
    <x v="2"/>
  </r>
  <r>
    <n v="110"/>
    <n v="141"/>
    <n v="108"/>
    <s v="Gizmo"/>
    <s v="Cat"/>
    <s v="Shih Tzu"/>
    <s v="11/28/2023"/>
    <x v="7"/>
    <s v="NT05"/>
    <n v="438.31729999999999"/>
    <x v="1"/>
  </r>
  <r>
    <n v="111"/>
    <n v="97"/>
    <n v="72"/>
    <s v="Marley"/>
    <s v="Cat"/>
    <s v="German Shepherd"/>
    <s v="11/17/2023"/>
    <x v="5"/>
    <s v="VAC01"/>
    <n v="119.9024"/>
    <x v="2"/>
  </r>
  <r>
    <n v="112"/>
    <n v="110"/>
    <n v="21"/>
    <s v="Nala"/>
    <s v="Cat"/>
    <s v="Labrador Retriever"/>
    <s v="09/28/2023"/>
    <x v="2"/>
    <s v="BW07"/>
    <n v="398.31779999999998"/>
    <x v="0"/>
  </r>
  <r>
    <n v="113"/>
    <n v="25"/>
    <n v="73"/>
    <s v="Pepper"/>
    <s v="Dog"/>
    <s v="Scottish Fold"/>
    <s v="10/26/2023"/>
    <x v="3"/>
    <s v="DEN02"/>
    <n v="837.64729999999997"/>
    <x v="0"/>
  </r>
  <r>
    <n v="114"/>
    <n v="72"/>
    <n v="63"/>
    <s v="Simba"/>
    <s v="Dog"/>
    <s v="Dachshund"/>
    <s v="06/27/2023"/>
    <x v="1"/>
    <s v="EM06"/>
    <n v="422.6103"/>
    <x v="1"/>
  </r>
  <r>
    <n v="115"/>
    <n v="55"/>
    <n v="21"/>
    <s v="Shadow"/>
    <s v="Cat"/>
    <s v="Labrador Retriever"/>
    <s v="04/30/2023"/>
    <x v="5"/>
    <s v="VAC01"/>
    <n v="717.8039"/>
    <x v="1"/>
  </r>
  <r>
    <n v="116"/>
    <n v="85"/>
    <n v="131"/>
    <s v="Leo"/>
    <s v="Dog"/>
    <s v="Maine Coon"/>
    <s v="04/01/2023"/>
    <x v="5"/>
    <s v="VAC01"/>
    <n v="804.76369999999997"/>
    <x v="1"/>
  </r>
  <r>
    <n v="117"/>
    <n v="102"/>
    <n v="101"/>
    <s v="Rocky"/>
    <s v="Cat"/>
    <s v="Abyssinian"/>
    <s v="07/10/2023"/>
    <x v="6"/>
    <s v="CHK03"/>
    <n v="831.80560000000003"/>
    <x v="2"/>
  </r>
  <r>
    <n v="118"/>
    <n v="104"/>
    <n v="101"/>
    <s v="Daisy"/>
    <s v="Cat"/>
    <s v="Great Dane"/>
    <s v="04/02/2023"/>
    <x v="7"/>
    <s v="NT05"/>
    <n v="456.93849999999998"/>
    <x v="1"/>
  </r>
  <r>
    <n v="119"/>
    <n v="3"/>
    <n v="112"/>
    <s v="Harley"/>
    <s v="Cat"/>
    <s v="Dachshund"/>
    <s v="02/16/2023"/>
    <x v="6"/>
    <s v="CHK03"/>
    <n v="-145.4691"/>
    <x v="2"/>
  </r>
  <r>
    <n v="120"/>
    <n v="136"/>
    <n v="11"/>
    <s v="Milo"/>
    <s v="Dog"/>
    <s v="Siamese"/>
    <s v="11/04/2023"/>
    <x v="7"/>
    <s v="NT05"/>
    <n v="996.18060000000003"/>
    <x v="1"/>
  </r>
  <r>
    <n v="121"/>
    <n v="63"/>
    <n v="145"/>
    <s v="Penny"/>
    <s v="Dog"/>
    <s v="Beagle"/>
    <s v="12/05/2023"/>
    <x v="4"/>
    <s v="RAD08"/>
    <n v="591.20360000000005"/>
    <x v="1"/>
  </r>
  <r>
    <n v="122"/>
    <n v="119"/>
    <n v="45"/>
    <s v="Jax"/>
    <s v="Cat"/>
    <s v="Shih Tzu"/>
    <s v="05/14/2023"/>
    <x v="2"/>
    <s v="BW07"/>
    <n v="-269.2534"/>
    <x v="2"/>
  </r>
  <r>
    <n v="123"/>
    <n v="21"/>
    <n v="94"/>
    <s v="Oreo"/>
    <s v="Cat"/>
    <s v="Boston Terrier"/>
    <s v="04/18/2023"/>
    <x v="4"/>
    <s v="RAD08"/>
    <n v="344.29219999999998"/>
    <x v="2"/>
  </r>
  <r>
    <n v="124"/>
    <n v="114"/>
    <n v="119"/>
    <s v="Ace"/>
    <s v="Dog"/>
    <s v="Boston Terrier"/>
    <s v="05/29/2023"/>
    <x v="1"/>
    <s v="EM06"/>
    <n v="307.71289999999999"/>
    <x v="1"/>
  </r>
  <r>
    <n v="125"/>
    <n v="47"/>
    <n v="125"/>
    <s v="Lucy"/>
    <s v="Cat"/>
    <s v="Sphynx"/>
    <s v="03/24/2023"/>
    <x v="1"/>
    <s v="EM06"/>
    <n v="-25.637499999999999"/>
    <x v="2"/>
  </r>
  <r>
    <n v="126"/>
    <n v="67"/>
    <n v="146"/>
    <s v="Bentley"/>
    <s v="Cat"/>
    <s v="Australian Shepherd"/>
    <s v="01/27/2023"/>
    <x v="0"/>
    <s v="SUR04"/>
    <n v="-142.05969999999999"/>
    <x v="1"/>
  </r>
  <r>
    <n v="127"/>
    <n v="58"/>
    <n v="98"/>
    <s v="Oliver"/>
    <s v="Dog"/>
    <s v="Russian Blue"/>
    <s v="11/22/2023"/>
    <x v="6"/>
    <s v="CHK03"/>
    <n v="927.40139999999997"/>
    <x v="1"/>
  </r>
  <r>
    <n v="128"/>
    <n v="58"/>
    <n v="44"/>
    <s v="Blue"/>
    <s v="Dog"/>
    <s v="Ragdoll"/>
    <s v="02/02/2023"/>
    <x v="7"/>
    <s v="NT05"/>
    <n v="-55.932299999999998"/>
    <x v="1"/>
  </r>
  <r>
    <n v="129"/>
    <n v="180"/>
    <n v="118"/>
    <s v="Finn"/>
    <s v="Cat"/>
    <s v="German Shepherd"/>
    <s v="08/21/2023"/>
    <x v="0"/>
    <s v="SUR04"/>
    <n v="295.8938"/>
    <x v="0"/>
  </r>
  <r>
    <n v="130"/>
    <n v="157"/>
    <n v="148"/>
    <s v="Ellie"/>
    <s v="Dog"/>
    <s v="Bulldog"/>
    <s v="09/11/2023"/>
    <x v="4"/>
    <s v="RAD08"/>
    <n v="980.2133"/>
    <x v="1"/>
  </r>
  <r>
    <n v="131"/>
    <n v="159"/>
    <n v="56"/>
    <s v="Tucker"/>
    <s v="Cat"/>
    <s v="Golden Retriever"/>
    <s v="09/28/2023"/>
    <x v="3"/>
    <s v="DEN02"/>
    <n v="178.17679999999999"/>
    <x v="2"/>
  </r>
  <r>
    <n v="132"/>
    <n v="110"/>
    <n v="11"/>
    <s v="Tucker"/>
    <s v="Dog"/>
    <s v="Ragdoll"/>
    <s v="02/15/2023"/>
    <x v="2"/>
    <s v="BW07"/>
    <n v="342.37950000000001"/>
    <x v="0"/>
  </r>
  <r>
    <n v="133"/>
    <n v="171"/>
    <n v="17"/>
    <s v="Koda"/>
    <s v="Cat"/>
    <s v="Poodle"/>
    <s v="08/31/2023"/>
    <x v="0"/>
    <s v="SUR04"/>
    <n v="800.8288"/>
    <x v="1"/>
  </r>
  <r>
    <n v="134"/>
    <n v="20"/>
    <n v="59"/>
    <s v="Riley"/>
    <s v="Dog"/>
    <s v="Golden Retriever"/>
    <s v="07/16/2023"/>
    <x v="1"/>
    <s v="EM06"/>
    <n v="149.8827"/>
    <x v="0"/>
  </r>
  <r>
    <n v="135"/>
    <n v="99"/>
    <n v="26"/>
    <s v="Tank"/>
    <s v="Dog"/>
    <s v="Rottweiler"/>
    <s v="07/10/2023"/>
    <x v="7"/>
    <s v="NT05"/>
    <n v="-195.74870000000001"/>
    <x v="1"/>
  </r>
  <r>
    <n v="136"/>
    <n v="185"/>
    <n v="22"/>
    <s v="Lucy"/>
    <s v="Cat"/>
    <s v="Doberman Pinscher"/>
    <s v="08/01/2023"/>
    <x v="7"/>
    <s v="NT05"/>
    <n v="7.9272999999999998"/>
    <x v="2"/>
  </r>
  <r>
    <n v="137"/>
    <n v="51"/>
    <n v="133"/>
    <s v="Thor"/>
    <s v="Cat"/>
    <s v="Beagle"/>
    <s v="12/25/2023"/>
    <x v="6"/>
    <s v="CHK03"/>
    <n v="438.78190000000001"/>
    <x v="0"/>
  </r>
  <r>
    <n v="138"/>
    <n v="50"/>
    <n v="140"/>
    <s v="Luna"/>
    <s v="Dog"/>
    <s v="Border Collie"/>
    <s v="03/26/2023"/>
    <x v="7"/>
    <s v="NT05"/>
    <n v="316.45010000000002"/>
    <x v="2"/>
  </r>
  <r>
    <n v="139"/>
    <n v="113"/>
    <n v="50"/>
    <s v="Gizmo"/>
    <s v="Dog"/>
    <s v="Siamese"/>
    <s v="10/14/2023"/>
    <x v="3"/>
    <s v="DEN02"/>
    <n v="350.8954"/>
    <x v="1"/>
  </r>
  <r>
    <n v="140"/>
    <n v="118"/>
    <n v="32"/>
    <s v="Simba"/>
    <s v="Cat"/>
    <s v="Cocker Spaniel"/>
    <s v="03/06/2023"/>
    <x v="0"/>
    <s v="SUR04"/>
    <n v="828.02179999999998"/>
    <x v="2"/>
  </r>
  <r>
    <n v="141"/>
    <n v="92"/>
    <n v="1"/>
    <s v="Bella"/>
    <s v="Dog"/>
    <s v="Boxer"/>
    <s v="11/14/2023"/>
    <x v="2"/>
    <s v="BW07"/>
    <n v="217.81880000000001"/>
    <x v="1"/>
  </r>
  <r>
    <n v="142"/>
    <n v="77"/>
    <n v="122"/>
    <s v="Loki"/>
    <s v="Dog"/>
    <s v="Great Dane"/>
    <s v="12/07/2023"/>
    <x v="1"/>
    <s v="EM06"/>
    <n v="551.09540000000004"/>
    <x v="2"/>
  </r>
  <r>
    <n v="143"/>
    <n v="47"/>
    <n v="17"/>
    <s v="Zoey"/>
    <s v="Dog"/>
    <s v="Yorkshire Terrier"/>
    <s v="04/12/2023"/>
    <x v="2"/>
    <s v="BW07"/>
    <n v="-41.724899999999998"/>
    <x v="1"/>
  </r>
  <r>
    <n v="144"/>
    <n v="174"/>
    <n v="33"/>
    <s v="Sadie"/>
    <s v="Cat"/>
    <s v="Siberian Husky"/>
    <s v="12/08/2023"/>
    <x v="4"/>
    <s v="RAD08"/>
    <n v="933.28129999999999"/>
    <x v="0"/>
  </r>
  <r>
    <n v="145"/>
    <n v="50"/>
    <n v="116"/>
    <s v="Luna"/>
    <s v="Dog"/>
    <s v="Boxer"/>
    <s v="08/28/2023"/>
    <x v="0"/>
    <s v="SUR04"/>
    <n v="684.50080000000003"/>
    <x v="2"/>
  </r>
  <r>
    <n v="146"/>
    <n v="178"/>
    <n v="86"/>
    <s v="Ellie"/>
    <s v="Dog"/>
    <s v="British Shorthair"/>
    <s v="11/15/2023"/>
    <x v="2"/>
    <s v="BW07"/>
    <n v="463.15280000000001"/>
    <x v="1"/>
  </r>
  <r>
    <n v="147"/>
    <n v="109"/>
    <n v="119"/>
    <s v="Penny"/>
    <s v="Cat"/>
    <s v="German Shepherd"/>
    <s v="03/16/2023"/>
    <x v="3"/>
    <s v="DEN02"/>
    <n v="952.69799999999998"/>
    <x v="2"/>
  </r>
  <r>
    <n v="148"/>
    <n v="183"/>
    <n v="95"/>
    <s v="Oreo"/>
    <s v="Dog"/>
    <s v="Ragdoll"/>
    <s v="08/14/2023"/>
    <x v="7"/>
    <s v="NT05"/>
    <n v="844.56769999999995"/>
    <x v="1"/>
  </r>
  <r>
    <n v="149"/>
    <n v="11"/>
    <n v="52"/>
    <s v="Milo"/>
    <s v="Dog"/>
    <s v="Great Dane"/>
    <s v="04/03/2023"/>
    <x v="0"/>
    <s v="SUR04"/>
    <n v="292.92410000000001"/>
    <x v="1"/>
  </r>
  <r>
    <n v="150"/>
    <n v="91"/>
    <n v="36"/>
    <s v="Bentley"/>
    <s v="Cat"/>
    <s v="Yorkshire Terrier"/>
    <s v="05/17/2023"/>
    <x v="6"/>
    <s v="CHK03"/>
    <n v="235.36689999999999"/>
    <x v="1"/>
  </r>
  <r>
    <n v="151"/>
    <n v="107"/>
    <n v="3"/>
    <s v="Zeus"/>
    <s v="Cat"/>
    <s v="Poodle"/>
    <s v="05/10/2023"/>
    <x v="0"/>
    <s v="SUR04"/>
    <n v="55.591500000000003"/>
    <x v="2"/>
  </r>
  <r>
    <n v="152"/>
    <n v="55"/>
    <n v="33"/>
    <s v="Zoey"/>
    <s v="Dog"/>
    <s v="Border Collie"/>
    <s v="08/17/2023"/>
    <x v="0"/>
    <s v="SUR04"/>
    <n v="990.17259999999999"/>
    <x v="1"/>
  </r>
  <r>
    <n v="153"/>
    <n v="18"/>
    <n v="148"/>
    <s v="Cooper"/>
    <s v="Cat"/>
    <s v="Rottweiler"/>
    <s v="05/30/2023"/>
    <x v="6"/>
    <s v="CHK03"/>
    <n v="705.97770000000003"/>
    <x v="2"/>
  </r>
  <r>
    <n v="154"/>
    <n v="25"/>
    <n v="25"/>
    <s v="Sadie"/>
    <s v="Cat"/>
    <s v="Persian"/>
    <s v="03/16/2023"/>
    <x v="0"/>
    <s v="SUR04"/>
    <n v="98.849199999999996"/>
    <x v="2"/>
  </r>
  <r>
    <n v="155"/>
    <n v="116"/>
    <n v="85"/>
    <s v="Koda"/>
    <s v="Dog"/>
    <s v="Border Collie"/>
    <s v="11/10/2023"/>
    <x v="6"/>
    <s v="CHK03"/>
    <n v="-23.1691"/>
    <x v="1"/>
  </r>
  <r>
    <n v="156"/>
    <n v="154"/>
    <n v="66"/>
    <s v="Rocky"/>
    <s v="Cat"/>
    <s v="German Shepherd"/>
    <s v="08/05/2023"/>
    <x v="5"/>
    <s v="VAC01"/>
    <n v="268.58409999999998"/>
    <x v="0"/>
  </r>
  <r>
    <n v="157"/>
    <n v="112"/>
    <n v="34"/>
    <s v="Ruby"/>
    <s v="Cat"/>
    <s v="Golden Retriever"/>
    <s v="09/18/2023"/>
    <x v="6"/>
    <s v="CHK03"/>
    <n v="90.513000000000005"/>
    <x v="1"/>
  </r>
  <r>
    <n v="158"/>
    <n v="185"/>
    <n v="70"/>
    <s v="Nala"/>
    <s v="Dog"/>
    <s v="Great Dane"/>
    <s v="09/17/2023"/>
    <x v="2"/>
    <s v="BW07"/>
    <n v="907.32479999999998"/>
    <x v="1"/>
  </r>
  <r>
    <n v="159"/>
    <n v="87"/>
    <n v="47"/>
    <s v="Lucy"/>
    <s v="Cat"/>
    <s v="Chihuahua"/>
    <s v="04/26/2023"/>
    <x v="0"/>
    <s v="SUR04"/>
    <n v="-54.969900000000003"/>
    <x v="0"/>
  </r>
  <r>
    <n v="160"/>
    <n v="147"/>
    <n v="69"/>
    <s v="Leo"/>
    <s v="Dog"/>
    <s v="Beagle"/>
    <s v="02/11/2023"/>
    <x v="5"/>
    <s v="VAC01"/>
    <n v="-208.95840000000001"/>
    <x v="0"/>
  </r>
  <r>
    <n v="161"/>
    <n v="131"/>
    <n v="83"/>
    <s v="Moose"/>
    <s v="Cat"/>
    <s v="Siberian Husky"/>
    <s v="11/22/2023"/>
    <x v="2"/>
    <s v="BW07"/>
    <n v="-245.36539999999999"/>
    <x v="0"/>
  </r>
  <r>
    <n v="162"/>
    <n v="177"/>
    <n v="84"/>
    <s v="Nova"/>
    <s v="Dog"/>
    <s v="Scottish Fold"/>
    <s v="04/17/2023"/>
    <x v="2"/>
    <s v="BW07"/>
    <n v="429.26049999999998"/>
    <x v="0"/>
  </r>
  <r>
    <n v="163"/>
    <n v="166"/>
    <n v="40"/>
    <s v="Tank"/>
    <s v="Dog"/>
    <s v="Dachshund"/>
    <s v="02/08/2023"/>
    <x v="3"/>
    <s v="DEN02"/>
    <n v="123.7726"/>
    <x v="2"/>
  </r>
  <r>
    <n v="164"/>
    <n v="7"/>
    <n v="114"/>
    <s v="Marley"/>
    <s v="Dog"/>
    <s v="Abyssinian"/>
    <s v="11/15/2023"/>
    <x v="7"/>
    <s v="NT05"/>
    <n v="-99.235699999999994"/>
    <x v="1"/>
  </r>
  <r>
    <n v="165"/>
    <n v="104"/>
    <n v="32"/>
    <s v="Oliver"/>
    <s v="Cat"/>
    <s v="Border Collie"/>
    <s v="02/25/2023"/>
    <x v="1"/>
    <s v="EM06"/>
    <n v="2.5354000000000001"/>
    <x v="1"/>
  </r>
  <r>
    <n v="166"/>
    <n v="174"/>
    <n v="102"/>
    <s v="Winston"/>
    <s v="Dog"/>
    <s v="Doberman Pinscher"/>
    <s v="01/05/2023"/>
    <x v="4"/>
    <s v="RAD08"/>
    <n v="528.31460000000004"/>
    <x v="0"/>
  </r>
  <r>
    <n v="167"/>
    <n v="115"/>
    <n v="22"/>
    <s v="Bella"/>
    <s v="Dog"/>
    <s v="British Shorthair"/>
    <s v="06/24/2023"/>
    <x v="3"/>
    <s v="DEN02"/>
    <n v="783.82770000000005"/>
    <x v="1"/>
  </r>
  <r>
    <n v="168"/>
    <n v="137"/>
    <n v="77"/>
    <s v="Penny"/>
    <s v="Dog"/>
    <s v="Bulldog"/>
    <s v="06/12/2023"/>
    <x v="5"/>
    <s v="VAC01"/>
    <n v="9.56"/>
    <x v="1"/>
  </r>
  <r>
    <n v="169"/>
    <n v="90"/>
    <n v="99"/>
    <s v="Simba"/>
    <s v="Cat"/>
    <s v="Great Dane"/>
    <s v="05/15/2023"/>
    <x v="1"/>
    <s v="EM06"/>
    <n v="172.94040000000001"/>
    <x v="1"/>
  </r>
  <r>
    <n v="170"/>
    <n v="40"/>
    <n v="54"/>
    <s v="Nala"/>
    <s v="Dog"/>
    <s v="French Bulldog"/>
    <s v="03/29/2023"/>
    <x v="7"/>
    <s v="NT05"/>
    <n v="318.49880000000002"/>
    <x v="2"/>
  </r>
  <r>
    <n v="171"/>
    <n v="44"/>
    <n v="64"/>
    <s v="Duke"/>
    <s v="Cat"/>
    <s v="Rottweiler"/>
    <s v="02/19/2023"/>
    <x v="1"/>
    <s v="EM06"/>
    <n v="-152.84360000000001"/>
    <x v="0"/>
  </r>
  <r>
    <n v="172"/>
    <n v="134"/>
    <n v="101"/>
    <s v="Lucy"/>
    <s v="Dog"/>
    <s v="Rottweiler"/>
    <s v="04/20/2023"/>
    <x v="2"/>
    <s v="BW07"/>
    <n v="925.41030000000001"/>
    <x v="0"/>
  </r>
  <r>
    <n v="173"/>
    <n v="139"/>
    <n v="125"/>
    <s v="Daisy"/>
    <s v="Dog"/>
    <s v="Abyssinian"/>
    <s v="10/11/2023"/>
    <x v="0"/>
    <s v="SUR04"/>
    <n v="124.3339"/>
    <x v="1"/>
  </r>
  <r>
    <n v="174"/>
    <n v="166"/>
    <n v="25"/>
    <s v="Pepper"/>
    <s v="Dog"/>
    <s v="Beagle"/>
    <s v="08/18/2023"/>
    <x v="2"/>
    <s v="BW07"/>
    <n v="392.92079999999999"/>
    <x v="2"/>
  </r>
  <r>
    <n v="175"/>
    <n v="74"/>
    <n v="68"/>
    <s v="Oreo"/>
    <s v="Dog"/>
    <s v="Boston Terrier"/>
    <s v="03/18/2023"/>
    <x v="1"/>
    <s v="EM06"/>
    <n v="611.38149999999996"/>
    <x v="2"/>
  </r>
  <r>
    <n v="176"/>
    <n v="167"/>
    <n v="54"/>
    <s v="Cooper"/>
    <s v="Cat"/>
    <s v="Abyssinian"/>
    <s v="08/23/2023"/>
    <x v="4"/>
    <s v="RAD08"/>
    <n v="-114.69"/>
    <x v="2"/>
  </r>
  <r>
    <n v="177"/>
    <n v="36"/>
    <n v="49"/>
    <s v="Cooper"/>
    <s v="Cat"/>
    <s v="British Shorthair"/>
    <s v="10/12/2023"/>
    <x v="7"/>
    <s v="NT05"/>
    <n v="877.64509999999996"/>
    <x v="2"/>
  </r>
  <r>
    <n v="178"/>
    <n v="23"/>
    <n v="136"/>
    <s v="Jax"/>
    <s v="Dog"/>
    <s v="Maine Coon"/>
    <s v="03/04/2023"/>
    <x v="2"/>
    <s v="BW07"/>
    <n v="972.06610000000001"/>
    <x v="2"/>
  </r>
  <r>
    <n v="179"/>
    <n v="100"/>
    <n v="112"/>
    <s v="Chloe"/>
    <s v="Cat"/>
    <s v="Sphynx"/>
    <s v="02/25/2023"/>
    <x v="5"/>
    <s v="VAC01"/>
    <n v="-54.795099999999998"/>
    <x v="0"/>
  </r>
  <r>
    <n v="180"/>
    <n v="58"/>
    <n v="144"/>
    <s v="Blue"/>
    <s v="Dog"/>
    <s v="Beagle"/>
    <s v="04/05/2023"/>
    <x v="0"/>
    <s v="SUR04"/>
    <n v="157.59950000000001"/>
    <x v="2"/>
  </r>
  <r>
    <n v="181"/>
    <n v="91"/>
    <n v="22"/>
    <s v="Shadow"/>
    <s v="Dog"/>
    <s v="Chihuahua"/>
    <s v="06/09/2023"/>
    <x v="2"/>
    <s v="BW07"/>
    <n v="731.43449999999996"/>
    <x v="0"/>
  </r>
  <r>
    <n v="182"/>
    <n v="173"/>
    <n v="14"/>
    <s v="Daisy"/>
    <s v="Dog"/>
    <s v="Boston Terrier"/>
    <s v="06/17/2023"/>
    <x v="7"/>
    <s v="NT05"/>
    <n v="824.13589999999999"/>
    <x v="1"/>
  </r>
  <r>
    <n v="183"/>
    <n v="6"/>
    <n v="9"/>
    <s v="Penny"/>
    <s v="Cat"/>
    <s v="Maine Coon"/>
    <s v="01/24/2023"/>
    <x v="5"/>
    <s v="VAC01"/>
    <n v="-111.2376"/>
    <x v="1"/>
  </r>
  <r>
    <n v="184"/>
    <n v="199"/>
    <n v="16"/>
    <s v="Oliver"/>
    <s v="Cat"/>
    <s v="Siberian Husky"/>
    <s v="05/26/2023"/>
    <x v="7"/>
    <s v="NT05"/>
    <n v="-130.70259999999999"/>
    <x v="1"/>
  </r>
  <r>
    <n v="185"/>
    <n v="105"/>
    <n v="8"/>
    <s v="Penny"/>
    <s v="Dog"/>
    <s v="British Shorthair"/>
    <s v="02/01/2023"/>
    <x v="7"/>
    <s v="NT05"/>
    <n v="591.48030000000006"/>
    <x v="0"/>
  </r>
  <r>
    <n v="186"/>
    <n v="75"/>
    <n v="1"/>
    <s v="Blue"/>
    <s v="Cat"/>
    <s v="Yorkshire Terrier"/>
    <s v="08/12/2023"/>
    <x v="6"/>
    <s v="CHK03"/>
    <n v="969.21100000000001"/>
    <x v="1"/>
  </r>
  <r>
    <n v="187"/>
    <n v="7"/>
    <n v="18"/>
    <s v="Penny"/>
    <s v="Dog"/>
    <s v="Yorkshire Terrier"/>
    <s v="04/09/2023"/>
    <x v="1"/>
    <s v="EM06"/>
    <n v="315.58300000000003"/>
    <x v="1"/>
  </r>
  <r>
    <n v="188"/>
    <n v="91"/>
    <n v="124"/>
    <s v="Charlie"/>
    <s v="Cat"/>
    <s v="Scottish Fold"/>
    <s v="10/07/2023"/>
    <x v="1"/>
    <s v="EM06"/>
    <n v="279.47129999999999"/>
    <x v="2"/>
  </r>
  <r>
    <n v="189"/>
    <n v="123"/>
    <n v="131"/>
    <s v="Harley"/>
    <s v="Dog"/>
    <s v="Great Dane"/>
    <s v="04/30/2023"/>
    <x v="0"/>
    <s v="SUR04"/>
    <n v="885.03340000000003"/>
    <x v="1"/>
  </r>
  <r>
    <n v="190"/>
    <n v="55"/>
    <n v="94"/>
    <s v="Moose"/>
    <s v="Cat"/>
    <s v="Golden Retriever"/>
    <s v="06/28/2023"/>
    <x v="0"/>
    <s v="SUR04"/>
    <n v="-153.58519999999999"/>
    <x v="1"/>
  </r>
  <r>
    <n v="191"/>
    <n v="123"/>
    <n v="131"/>
    <s v="Rosie"/>
    <s v="Cat"/>
    <s v="Chihuahua"/>
    <s v="10/13/2023"/>
    <x v="7"/>
    <s v="NT05"/>
    <n v="153.2954"/>
    <x v="1"/>
  </r>
  <r>
    <n v="192"/>
    <n v="64"/>
    <n v="126"/>
    <s v="Zeus"/>
    <s v="Cat"/>
    <s v="Siamese"/>
    <s v="04/01/2023"/>
    <x v="4"/>
    <s v="RAD08"/>
    <n v="-230.411"/>
    <x v="2"/>
  </r>
  <r>
    <n v="193"/>
    <n v="167"/>
    <n v="82"/>
    <s v="Rosie"/>
    <s v="Dog"/>
    <s v="Bulldog"/>
    <s v="12/12/2023"/>
    <x v="0"/>
    <s v="SUR04"/>
    <n v="325.53809999999999"/>
    <x v="2"/>
  </r>
  <r>
    <n v="194"/>
    <n v="13"/>
    <n v="75"/>
    <s v="Shadow"/>
    <s v="Cat"/>
    <s v="Doberman Pinscher"/>
    <s v="12/10/2023"/>
    <x v="7"/>
    <s v="NT05"/>
    <n v="984.0616"/>
    <x v="2"/>
  </r>
  <r>
    <n v="195"/>
    <n v="94"/>
    <n v="106"/>
    <s v="Atlas"/>
    <s v="Cat"/>
    <s v="Siberian Husky"/>
    <s v="03/24/2023"/>
    <x v="7"/>
    <s v="NT05"/>
    <n v="722.30449999999996"/>
    <x v="2"/>
  </r>
  <r>
    <n v="196"/>
    <n v="50"/>
    <n v="10"/>
    <s v="Loki"/>
    <s v="Dog"/>
    <s v="Golden Retriever"/>
    <s v="04/25/2023"/>
    <x v="2"/>
    <s v="BW07"/>
    <n v="171.8546"/>
    <x v="0"/>
  </r>
  <r>
    <n v="197"/>
    <n v="13"/>
    <n v="51"/>
    <s v="Loki"/>
    <s v="Dog"/>
    <s v="British Shorthair"/>
    <s v="11/19/2023"/>
    <x v="6"/>
    <s v="CHK03"/>
    <n v="-174.1713"/>
    <x v="0"/>
  </r>
  <r>
    <n v="198"/>
    <n v="162"/>
    <n v="143"/>
    <s v="Daisy"/>
    <s v="Cat"/>
    <s v="Russian Blue"/>
    <s v="07/17/2023"/>
    <x v="5"/>
    <s v="VAC01"/>
    <n v="169.9494"/>
    <x v="1"/>
  </r>
  <r>
    <n v="199"/>
    <n v="115"/>
    <n v="114"/>
    <s v="Winston"/>
    <s v="Dog"/>
    <s v="Persian"/>
    <s v="08/23/2023"/>
    <x v="2"/>
    <s v="BW07"/>
    <n v="-243.72909999999999"/>
    <x v="1"/>
  </r>
  <r>
    <n v="200"/>
    <n v="1"/>
    <n v="99"/>
    <s v="Ellie"/>
    <s v="Dog"/>
    <s v="Doberman Pinscher"/>
    <s v="11/26/2023"/>
    <x v="6"/>
    <s v="CHK03"/>
    <n v="-255.8347"/>
    <x v="1"/>
  </r>
  <r>
    <n v="201"/>
    <n v="89"/>
    <n v="76"/>
    <s v="Daisy"/>
    <s v="Dog"/>
    <s v="Poodle"/>
    <s v="10/09/2023"/>
    <x v="0"/>
    <s v="SUR04"/>
    <n v="384.59699999999998"/>
    <x v="2"/>
  </r>
  <r>
    <n v="202"/>
    <n v="76"/>
    <n v="115"/>
    <s v="Bailey"/>
    <s v="Cat"/>
    <s v="Yorkshire Terrier"/>
    <s v="09/12/2023"/>
    <x v="1"/>
    <s v="EM06"/>
    <n v="542.28710000000001"/>
    <x v="2"/>
  </r>
  <r>
    <n v="203"/>
    <n v="112"/>
    <n v="39"/>
    <s v="Milo"/>
    <s v="Cat"/>
    <s v="Siamese"/>
    <s v="11/06/2023"/>
    <x v="4"/>
    <s v="RAD08"/>
    <n v="-253.0188"/>
    <x v="1"/>
  </r>
  <r>
    <n v="204"/>
    <n v="173"/>
    <n v="89"/>
    <s v="Leo"/>
    <s v="Cat"/>
    <s v="Maine Coon"/>
    <s v="04/04/2023"/>
    <x v="6"/>
    <s v="CHK03"/>
    <n v="334.7047"/>
    <x v="2"/>
  </r>
  <r>
    <n v="205"/>
    <n v="18"/>
    <n v="2"/>
    <s v="Luna"/>
    <s v="Dog"/>
    <s v="Shih Tzu"/>
    <s v="03/15/2023"/>
    <x v="7"/>
    <s v="NT05"/>
    <n v="-167.03630000000001"/>
    <x v="2"/>
  </r>
  <r>
    <n v="206"/>
    <n v="199"/>
    <n v="8"/>
    <s v="Riley"/>
    <s v="Dog"/>
    <s v="Poodle"/>
    <s v="12/26/2023"/>
    <x v="3"/>
    <s v="DEN02"/>
    <n v="61.729500000000002"/>
    <x v="0"/>
  </r>
  <r>
    <n v="207"/>
    <n v="112"/>
    <n v="139"/>
    <s v="Rocky"/>
    <s v="Dog"/>
    <s v="Scottish Fold"/>
    <s v="05/05/2023"/>
    <x v="5"/>
    <s v="VAC01"/>
    <n v="971.60230000000001"/>
    <x v="1"/>
  </r>
  <r>
    <n v="208"/>
    <n v="39"/>
    <n v="3"/>
    <s v="Harley"/>
    <s v="Cat"/>
    <s v="British Shorthair"/>
    <s v="10/24/2023"/>
    <x v="7"/>
    <s v="NT05"/>
    <n v="302.50189999999998"/>
    <x v="1"/>
  </r>
  <r>
    <n v="209"/>
    <n v="176"/>
    <n v="68"/>
    <s v="Rosie"/>
    <s v="Dog"/>
    <s v="Golden Retriever"/>
    <s v="08/24/2023"/>
    <x v="6"/>
    <s v="CHK03"/>
    <n v="108.2809"/>
    <x v="2"/>
  </r>
  <r>
    <n v="210"/>
    <n v="179"/>
    <n v="99"/>
    <s v="Scout"/>
    <s v="Cat"/>
    <s v="Australian Shepherd"/>
    <s v="03/01/2023"/>
    <x v="0"/>
    <s v="SUR04"/>
    <n v="836.74210000000005"/>
    <x v="1"/>
  </r>
  <r>
    <n v="211"/>
    <n v="88"/>
    <n v="124"/>
    <s v="Charlie"/>
    <s v="Dog"/>
    <s v="Siberian Husky"/>
    <s v="07/14/2023"/>
    <x v="1"/>
    <s v="EM06"/>
    <n v="790.63319999999999"/>
    <x v="1"/>
  </r>
  <r>
    <n v="212"/>
    <n v="124"/>
    <n v="98"/>
    <s v="Oreo"/>
    <s v="Dog"/>
    <s v="Persian"/>
    <s v="01/14/2023"/>
    <x v="7"/>
    <s v="NT05"/>
    <n v="-105.5304"/>
    <x v="1"/>
  </r>
  <r>
    <n v="213"/>
    <n v="68"/>
    <n v="24"/>
    <s v="Finn"/>
    <s v="Cat"/>
    <s v="Beagle"/>
    <s v="06/15/2023"/>
    <x v="2"/>
    <s v="BW07"/>
    <n v="23.4892"/>
    <x v="2"/>
  </r>
  <r>
    <n v="214"/>
    <n v="163"/>
    <n v="132"/>
    <s v="Daisy"/>
    <s v="Dog"/>
    <s v="Australian Shepherd"/>
    <s v="10/04/2023"/>
    <x v="1"/>
    <s v="EM06"/>
    <n v="-9.1983999999999995"/>
    <x v="2"/>
  </r>
  <r>
    <n v="215"/>
    <n v="4"/>
    <n v="150"/>
    <s v="Oreo"/>
    <s v="Cat"/>
    <s v="Cocker Spaniel"/>
    <s v="12/01/2023"/>
    <x v="2"/>
    <s v="BW07"/>
    <n v="-157.8407"/>
    <x v="1"/>
  </r>
  <r>
    <n v="216"/>
    <n v="155"/>
    <n v="15"/>
    <s v="Koda"/>
    <s v="Dog"/>
    <s v="French Bulldog"/>
    <s v="11/14/2023"/>
    <x v="1"/>
    <s v="EM06"/>
    <n v="91.898099999999999"/>
    <x v="1"/>
  </r>
  <r>
    <n v="217"/>
    <n v="48"/>
    <n v="92"/>
    <s v="Bella"/>
    <s v="Dog"/>
    <s v="Golden Retriever"/>
    <s v="11/22/2023"/>
    <x v="4"/>
    <s v="RAD08"/>
    <n v="526.75620000000004"/>
    <x v="1"/>
  </r>
  <r>
    <n v="218"/>
    <n v="27"/>
    <n v="83"/>
    <s v="Luna"/>
    <s v="Dog"/>
    <s v="Rottweiler"/>
    <s v="05/16/2023"/>
    <x v="5"/>
    <s v="VAC01"/>
    <n v="548.65170000000001"/>
    <x v="1"/>
  </r>
  <r>
    <n v="219"/>
    <n v="14"/>
    <n v="80"/>
    <s v="Bentley"/>
    <s v="Cat"/>
    <s v="Persian"/>
    <s v="12/21/2023"/>
    <x v="6"/>
    <s v="CHK03"/>
    <n v="588.49030000000005"/>
    <x v="1"/>
  </r>
  <r>
    <n v="220"/>
    <n v="171"/>
    <n v="66"/>
    <s v="Tank"/>
    <s v="Dog"/>
    <s v="Siberian Husky"/>
    <s v="10/17/2023"/>
    <x v="2"/>
    <s v="BW07"/>
    <n v="378.3211"/>
    <x v="0"/>
  </r>
  <r>
    <n v="221"/>
    <n v="158"/>
    <n v="83"/>
    <s v="Remy"/>
    <s v="Dog"/>
    <s v="Persian"/>
    <s v="10/03/2023"/>
    <x v="0"/>
    <s v="SUR04"/>
    <n v="314.40159999999997"/>
    <x v="1"/>
  </r>
  <r>
    <n v="222"/>
    <n v="150"/>
    <n v="128"/>
    <s v="Moose"/>
    <s v="Dog"/>
    <s v="Labrador Retriever"/>
    <s v="05/03/2023"/>
    <x v="4"/>
    <s v="RAD08"/>
    <n v="626.16200000000003"/>
    <x v="0"/>
  </r>
  <r>
    <n v="223"/>
    <n v="112"/>
    <n v="135"/>
    <s v="Gizmo"/>
    <s v="Cat"/>
    <s v="Cocker Spaniel"/>
    <s v="01/30/2023"/>
    <x v="6"/>
    <s v="CHK03"/>
    <n v="-227.3981"/>
    <x v="2"/>
  </r>
  <r>
    <n v="224"/>
    <n v="14"/>
    <n v="83"/>
    <s v="Milo"/>
    <s v="Cat"/>
    <s v="Rottweiler"/>
    <s v="01/01/2024"/>
    <x v="1"/>
    <s v="EM06"/>
    <n v="-5.4984999999999999"/>
    <x v="0"/>
  </r>
  <r>
    <n v="225"/>
    <n v="132"/>
    <n v="76"/>
    <s v="Rosie"/>
    <s v="Cat"/>
    <s v="Boston Terrier"/>
    <s v="01/19/2023"/>
    <x v="7"/>
    <s v="NT05"/>
    <n v="459.96199999999999"/>
    <x v="1"/>
  </r>
  <r>
    <n v="226"/>
    <n v="80"/>
    <n v="138"/>
    <s v="Bailey"/>
    <s v="Cat"/>
    <s v="Shih Tzu"/>
    <s v="05/01/2023"/>
    <x v="0"/>
    <s v="SUR04"/>
    <n v="986.57500000000005"/>
    <x v="1"/>
  </r>
  <r>
    <n v="227"/>
    <n v="158"/>
    <n v="83"/>
    <s v="Cooper"/>
    <s v="Dog"/>
    <s v="Golden Retriever"/>
    <s v="07/14/2023"/>
    <x v="3"/>
    <s v="DEN02"/>
    <n v="287.66730000000001"/>
    <x v="1"/>
  </r>
  <r>
    <n v="228"/>
    <n v="162"/>
    <n v="45"/>
    <s v="Daisy"/>
    <s v="Dog"/>
    <s v="Siamese"/>
    <s v="08/26/2023"/>
    <x v="7"/>
    <s v="NT05"/>
    <n v="-141.47989999999999"/>
    <x v="1"/>
  </r>
  <r>
    <n v="229"/>
    <n v="164"/>
    <n v="97"/>
    <s v="Finn"/>
    <s v="Dog"/>
    <s v="Ragdoll"/>
    <s v="11/14/2023"/>
    <x v="6"/>
    <s v="CHK03"/>
    <n v="930.03089999999997"/>
    <x v="1"/>
  </r>
  <r>
    <n v="230"/>
    <n v="24"/>
    <n v="6"/>
    <s v="Cooper"/>
    <s v="Cat"/>
    <s v="Chihuahua"/>
    <s v="08/27/2023"/>
    <x v="0"/>
    <s v="SUR04"/>
    <n v="932.0027"/>
    <x v="1"/>
  </r>
  <r>
    <n v="231"/>
    <n v="169"/>
    <n v="53"/>
    <s v="Loki"/>
    <s v="Dog"/>
    <s v="Russian Blue"/>
    <s v="04/03/2023"/>
    <x v="3"/>
    <s v="DEN02"/>
    <n v="691.3075"/>
    <x v="1"/>
  </r>
  <r>
    <n v="232"/>
    <n v="71"/>
    <n v="72"/>
    <s v="Bentley"/>
    <s v="Cat"/>
    <s v="Shih Tzu"/>
    <s v="01/18/2023"/>
    <x v="1"/>
    <s v="EM06"/>
    <n v="473.59789999999998"/>
    <x v="0"/>
  </r>
  <r>
    <n v="233"/>
    <n v="146"/>
    <n v="85"/>
    <s v="Tucker"/>
    <s v="Cat"/>
    <s v="Bengal"/>
    <s v="05/29/2023"/>
    <x v="4"/>
    <s v="RAD08"/>
    <n v="663.98209999999995"/>
    <x v="2"/>
  </r>
  <r>
    <n v="234"/>
    <n v="155"/>
    <n v="46"/>
    <s v="Thor"/>
    <s v="Dog"/>
    <s v="Bengal"/>
    <s v="01/19/2023"/>
    <x v="3"/>
    <s v="DEN02"/>
    <n v="-1.9833000000000001"/>
    <x v="1"/>
  </r>
  <r>
    <n v="235"/>
    <n v="200"/>
    <n v="129"/>
    <s v="Pepper"/>
    <s v="Cat"/>
    <s v="Poodle"/>
    <s v="06/01/2023"/>
    <x v="6"/>
    <s v="CHK03"/>
    <n v="666.29859999999996"/>
    <x v="2"/>
  </r>
  <r>
    <n v="236"/>
    <n v="6"/>
    <n v="48"/>
    <s v="Marley"/>
    <s v="Cat"/>
    <s v="Sphynx"/>
    <s v="03/08/2023"/>
    <x v="6"/>
    <s v="CHK03"/>
    <n v="235.96690000000001"/>
    <x v="0"/>
  </r>
  <r>
    <n v="237"/>
    <n v="55"/>
    <n v="10"/>
    <s v="Moose"/>
    <s v="Dog"/>
    <s v="Cocker Spaniel"/>
    <s v="05/14/2023"/>
    <x v="7"/>
    <s v="NT05"/>
    <n v="58.4985"/>
    <x v="2"/>
  </r>
  <r>
    <n v="238"/>
    <n v="130"/>
    <n v="134"/>
    <s v="Oliver"/>
    <s v="Dog"/>
    <s v="Golden Retriever"/>
    <s v="03/19/2023"/>
    <x v="2"/>
    <s v="BW07"/>
    <n v="368.49310000000003"/>
    <x v="0"/>
  </r>
  <r>
    <n v="239"/>
    <n v="112"/>
    <n v="57"/>
    <s v="Scout"/>
    <s v="Dog"/>
    <s v="Border Collie"/>
    <s v="12/05/2023"/>
    <x v="6"/>
    <s v="CHK03"/>
    <n v="301.93860000000001"/>
    <x v="1"/>
  </r>
  <r>
    <n v="240"/>
    <n v="199"/>
    <n v="144"/>
    <s v="Charlie"/>
    <s v="Cat"/>
    <s v="Beagle"/>
    <s v="12/29/2023"/>
    <x v="4"/>
    <s v="RAD08"/>
    <n v="604.56859999999995"/>
    <x v="2"/>
  </r>
  <r>
    <n v="241"/>
    <n v="37"/>
    <n v="23"/>
    <s v="Atlas"/>
    <s v="Cat"/>
    <s v="Ragdoll"/>
    <s v="09/12/2023"/>
    <x v="1"/>
    <s v="EM06"/>
    <n v="706.2912"/>
    <x v="2"/>
  </r>
  <r>
    <n v="242"/>
    <n v="92"/>
    <n v="23"/>
    <s v="Blue"/>
    <s v="Dog"/>
    <s v="British Shorthair"/>
    <s v="10/16/2023"/>
    <x v="3"/>
    <s v="DEN02"/>
    <n v="989.38890000000004"/>
    <x v="2"/>
  </r>
  <r>
    <n v="243"/>
    <n v="159"/>
    <n v="108"/>
    <s v="Scout"/>
    <s v="Dog"/>
    <s v="Dachshund"/>
    <s v="02/20/2023"/>
    <x v="4"/>
    <s v="RAD08"/>
    <n v="402.7056"/>
    <x v="2"/>
  </r>
  <r>
    <n v="244"/>
    <n v="89"/>
    <n v="100"/>
    <s v="Marley"/>
    <s v="Cat"/>
    <s v="Boston Terrier"/>
    <s v="03/04/2023"/>
    <x v="4"/>
    <s v="RAD08"/>
    <n v="306.5258"/>
    <x v="2"/>
  </r>
  <r>
    <n v="245"/>
    <n v="188"/>
    <n v="88"/>
    <s v="Duke"/>
    <s v="Dog"/>
    <s v="Abyssinian"/>
    <s v="07/19/2023"/>
    <x v="5"/>
    <s v="VAC01"/>
    <n v="494.36079999999998"/>
    <x v="0"/>
  </r>
  <r>
    <n v="246"/>
    <n v="143"/>
    <n v="79"/>
    <s v="Marley"/>
    <s v="Dog"/>
    <s v="Maine Coon"/>
    <s v="01/28/2023"/>
    <x v="3"/>
    <s v="DEN02"/>
    <n v="-190.655"/>
    <x v="1"/>
  </r>
  <r>
    <n v="247"/>
    <n v="1"/>
    <n v="67"/>
    <s v="Daisy"/>
    <s v="Dog"/>
    <s v="Yorkshire Terrier"/>
    <s v="05/18/2023"/>
    <x v="4"/>
    <s v="RAD08"/>
    <n v="20.9849"/>
    <x v="1"/>
  </r>
  <r>
    <n v="248"/>
    <n v="198"/>
    <n v="68"/>
    <s v="Murphy"/>
    <s v="Dog"/>
    <s v="Yorkshire Terrier"/>
    <s v="01/05/2023"/>
    <x v="7"/>
    <s v="NT05"/>
    <n v="529.94899999999996"/>
    <x v="0"/>
  </r>
  <r>
    <n v="249"/>
    <n v="3"/>
    <n v="124"/>
    <s v="Nala"/>
    <s v="Cat"/>
    <s v="Labrador Retriever"/>
    <s v="07/12/2023"/>
    <x v="0"/>
    <s v="SUR04"/>
    <n v="-12.8192"/>
    <x v="0"/>
  </r>
  <r>
    <n v="250"/>
    <n v="95"/>
    <n v="119"/>
    <s v="Harley"/>
    <s v="Dog"/>
    <s v="Chihuahua"/>
    <s v="09/11/2023"/>
    <x v="5"/>
    <s v="VAC01"/>
    <n v="709.1848"/>
    <x v="2"/>
  </r>
  <r>
    <n v="251"/>
    <n v="135"/>
    <n v="93"/>
    <s v="Shadow"/>
    <s v="Dog"/>
    <s v="Great Dane"/>
    <s v="07/18/2023"/>
    <x v="0"/>
    <s v="SUR04"/>
    <n v="937.99689999999998"/>
    <x v="1"/>
  </r>
  <r>
    <n v="252"/>
    <n v="167"/>
    <n v="29"/>
    <s v="Blue"/>
    <s v="Cat"/>
    <s v="Sphynx"/>
    <s v="08/29/2023"/>
    <x v="2"/>
    <s v="BW07"/>
    <n v="134.14410000000001"/>
    <x v="1"/>
  </r>
  <r>
    <n v="253"/>
    <n v="45"/>
    <n v="75"/>
    <s v="Chloe"/>
    <s v="Dog"/>
    <s v="Russian Blue"/>
    <s v="09/24/2023"/>
    <x v="6"/>
    <s v="CHK03"/>
    <n v="55.731499999999997"/>
    <x v="2"/>
  </r>
  <r>
    <n v="254"/>
    <n v="68"/>
    <n v="96"/>
    <s v="Zoey"/>
    <s v="Dog"/>
    <s v="Siberian Husky"/>
    <s v="08/21/2023"/>
    <x v="5"/>
    <s v="VAC01"/>
    <n v="399.0763"/>
    <x v="0"/>
  </r>
  <r>
    <n v="255"/>
    <n v="21"/>
    <n v="70"/>
    <s v="Tucker"/>
    <s v="Dog"/>
    <s v="Sphynx"/>
    <s v="04/05/2023"/>
    <x v="3"/>
    <s v="DEN02"/>
    <n v="848.01750000000004"/>
    <x v="2"/>
  </r>
  <r>
    <n v="256"/>
    <n v="22"/>
    <n v="92"/>
    <s v="Sadie"/>
    <s v="Dog"/>
    <s v="Rottweiler"/>
    <s v="02/22/2023"/>
    <x v="5"/>
    <s v="VAC01"/>
    <n v="703.55240000000003"/>
    <x v="1"/>
  </r>
  <r>
    <n v="257"/>
    <n v="1"/>
    <n v="12"/>
    <s v="Leo"/>
    <s v="Dog"/>
    <s v="Poodle"/>
    <s v="07/10/2023"/>
    <x v="2"/>
    <s v="BW07"/>
    <n v="768.99019999999996"/>
    <x v="2"/>
  </r>
  <r>
    <n v="258"/>
    <n v="85"/>
    <n v="143"/>
    <s v="Simba"/>
    <s v="Dog"/>
    <s v="Rottweiler"/>
    <s v="06/18/2023"/>
    <x v="6"/>
    <s v="CHK03"/>
    <n v="204.3784"/>
    <x v="1"/>
  </r>
  <r>
    <n v="259"/>
    <n v="9"/>
    <n v="135"/>
    <s v="Blue"/>
    <s v="Cat"/>
    <s v="Russian Blue"/>
    <s v="02/09/2023"/>
    <x v="4"/>
    <s v="RAD08"/>
    <n v="981.23979999999995"/>
    <x v="0"/>
  </r>
  <r>
    <n v="260"/>
    <n v="64"/>
    <n v="114"/>
    <s v="Milo"/>
    <s v="Dog"/>
    <s v="Great Dane"/>
    <s v="11/29/2023"/>
    <x v="7"/>
    <s v="NT05"/>
    <n v="756.8836"/>
    <x v="2"/>
  </r>
  <r>
    <n v="261"/>
    <n v="200"/>
    <n v="18"/>
    <s v="Simba"/>
    <s v="Cat"/>
    <s v="Ragdoll"/>
    <s v="06/30/2023"/>
    <x v="6"/>
    <s v="CHK03"/>
    <n v="61.8001"/>
    <x v="1"/>
  </r>
  <r>
    <n v="262"/>
    <n v="127"/>
    <n v="68"/>
    <s v="Rosie"/>
    <s v="Cat"/>
    <s v="Great Dane"/>
    <s v="06/04/2023"/>
    <x v="2"/>
    <s v="BW07"/>
    <n v="702.53989999999999"/>
    <x v="1"/>
  </r>
  <r>
    <n v="263"/>
    <n v="87"/>
    <n v="31"/>
    <s v="Oreo"/>
    <s v="Dog"/>
    <s v="Golden Retriever"/>
    <s v="10/21/2023"/>
    <x v="7"/>
    <s v="NT05"/>
    <n v="-7.5829000000000004"/>
    <x v="1"/>
  </r>
  <r>
    <n v="264"/>
    <n v="54"/>
    <n v="15"/>
    <s v="Moose"/>
    <s v="Cat"/>
    <s v="Australian Shepherd"/>
    <s v="08/25/2023"/>
    <x v="0"/>
    <s v="SUR04"/>
    <n v="151.87129999999999"/>
    <x v="2"/>
  </r>
  <r>
    <n v="265"/>
    <n v="195"/>
    <n v="49"/>
    <s v="Atlas"/>
    <s v="Cat"/>
    <s v="German Shepherd"/>
    <s v="07/09/2023"/>
    <x v="0"/>
    <s v="SUR04"/>
    <n v="3.4083999999999999"/>
    <x v="2"/>
  </r>
  <r>
    <n v="266"/>
    <n v="40"/>
    <n v="34"/>
    <s v="Zoey"/>
    <s v="Cat"/>
    <s v="British Shorthair"/>
    <s v="08/04/2023"/>
    <x v="1"/>
    <s v="EM06"/>
    <n v="941.65480000000002"/>
    <x v="1"/>
  </r>
  <r>
    <n v="267"/>
    <n v="93"/>
    <n v="121"/>
    <s v="Stella"/>
    <s v="Dog"/>
    <s v="Doberman Pinscher"/>
    <s v="03/03/2023"/>
    <x v="0"/>
    <s v="SUR04"/>
    <n v="210.39160000000001"/>
    <x v="1"/>
  </r>
  <r>
    <n v="268"/>
    <n v="185"/>
    <n v="116"/>
    <s v="Pepper"/>
    <s v="Dog"/>
    <s v="Poodle"/>
    <s v="05/15/2023"/>
    <x v="0"/>
    <s v="SUR04"/>
    <n v="500.19130000000001"/>
    <x v="1"/>
  </r>
  <r>
    <n v="269"/>
    <n v="131"/>
    <n v="89"/>
    <s v="Blue"/>
    <s v="Dog"/>
    <s v="Maine Coon"/>
    <s v="05/14/2023"/>
    <x v="0"/>
    <s v="SUR04"/>
    <n v="623.41480000000001"/>
    <x v="2"/>
  </r>
  <r>
    <n v="270"/>
    <n v="31"/>
    <n v="38"/>
    <s v="Bentley"/>
    <s v="Cat"/>
    <s v="Labrador Retriever"/>
    <s v="12/04/2023"/>
    <x v="3"/>
    <s v="DEN02"/>
    <n v="835.18650000000002"/>
    <x v="0"/>
  </r>
  <r>
    <n v="271"/>
    <n v="56"/>
    <n v="71"/>
    <s v="Penny"/>
    <s v="Dog"/>
    <s v="Yorkshire Terrier"/>
    <s v="08/27/2023"/>
    <x v="1"/>
    <s v="EM06"/>
    <n v="652.3578"/>
    <x v="0"/>
  </r>
  <r>
    <n v="272"/>
    <n v="135"/>
    <n v="135"/>
    <s v="Ruby"/>
    <s v="Cat"/>
    <s v="Border Collie"/>
    <s v="01/24/2023"/>
    <x v="2"/>
    <s v="BW07"/>
    <n v="833.65060000000005"/>
    <x v="1"/>
  </r>
  <r>
    <n v="273"/>
    <n v="19"/>
    <n v="61"/>
    <s v="Ace"/>
    <s v="Dog"/>
    <s v="Australian Shepherd"/>
    <s v="03/12/2023"/>
    <x v="1"/>
    <s v="EM06"/>
    <n v="864.29219999999998"/>
    <x v="2"/>
  </r>
  <r>
    <n v="274"/>
    <n v="194"/>
    <n v="149"/>
    <s v="Finn"/>
    <s v="Dog"/>
    <s v="Labrador Retriever"/>
    <s v="04/13/2023"/>
    <x v="4"/>
    <s v="RAD08"/>
    <n v="937.99369999999999"/>
    <x v="1"/>
  </r>
  <r>
    <n v="275"/>
    <n v="107"/>
    <n v="12"/>
    <s v="Ruby"/>
    <s v="Dog"/>
    <s v="Maine Coon"/>
    <s v="04/18/2023"/>
    <x v="1"/>
    <s v="EM06"/>
    <n v="-190.23249999999999"/>
    <x v="1"/>
  </r>
  <r>
    <n v="276"/>
    <n v="159"/>
    <n v="64"/>
    <s v="Bear"/>
    <s v="Dog"/>
    <s v="Persian"/>
    <s v="07/02/2023"/>
    <x v="3"/>
    <s v="DEN02"/>
    <n v="547.42399999999998"/>
    <x v="0"/>
  </r>
  <r>
    <n v="277"/>
    <n v="147"/>
    <n v="75"/>
    <s v="Cooper"/>
    <s v="Cat"/>
    <s v="Ragdoll"/>
    <s v="04/01/2023"/>
    <x v="3"/>
    <s v="DEN02"/>
    <n v="599.75210000000004"/>
    <x v="0"/>
  </r>
  <r>
    <n v="278"/>
    <n v="84"/>
    <n v="150"/>
    <s v="Bear"/>
    <s v="Cat"/>
    <s v="Siamese"/>
    <s v="01/15/2023"/>
    <x v="2"/>
    <s v="BW07"/>
    <n v="201.33260000000001"/>
    <x v="1"/>
  </r>
  <r>
    <n v="279"/>
    <n v="192"/>
    <n v="33"/>
    <s v="Pepper"/>
    <s v="Dog"/>
    <s v="Maine Coon"/>
    <s v="07/11/2023"/>
    <x v="0"/>
    <s v="SUR04"/>
    <n v="796.90470000000005"/>
    <x v="0"/>
  </r>
  <r>
    <n v="280"/>
    <n v="190"/>
    <n v="96"/>
    <s v="Ace"/>
    <s v="Dog"/>
    <s v="Border Collie"/>
    <s v="12/14/2023"/>
    <x v="0"/>
    <s v="SUR04"/>
    <n v="218.9503"/>
    <x v="1"/>
  </r>
  <r>
    <n v="281"/>
    <n v="80"/>
    <n v="36"/>
    <s v="Scout"/>
    <s v="Cat"/>
    <s v="Siamese"/>
    <s v="02/23/2023"/>
    <x v="5"/>
    <s v="VAC01"/>
    <n v="187.49449999999999"/>
    <x v="1"/>
  </r>
  <r>
    <n v="282"/>
    <n v="32"/>
    <n v="30"/>
    <s v="Harley"/>
    <s v="Cat"/>
    <s v="Yorkshire Terrier"/>
    <s v="01/14/2023"/>
    <x v="7"/>
    <s v="NT05"/>
    <n v="156.34610000000001"/>
    <x v="2"/>
  </r>
  <r>
    <n v="283"/>
    <n v="160"/>
    <n v="87"/>
    <s v="Simba"/>
    <s v="Cat"/>
    <s v="Sphynx"/>
    <s v="04/21/2023"/>
    <x v="2"/>
    <s v="BW07"/>
    <n v="818.17679999999996"/>
    <x v="1"/>
  </r>
  <r>
    <n v="284"/>
    <n v="165"/>
    <n v="24"/>
    <s v="Leo"/>
    <s v="Cat"/>
    <s v="Ragdoll"/>
    <s v="11/03/2023"/>
    <x v="6"/>
    <s v="CHK03"/>
    <n v="321.07479999999998"/>
    <x v="1"/>
  </r>
  <r>
    <n v="285"/>
    <n v="167"/>
    <n v="83"/>
    <s v="Simba"/>
    <s v="Cat"/>
    <s v="Siamese"/>
    <s v="03/20/2023"/>
    <x v="0"/>
    <s v="SUR04"/>
    <n v="37.183700000000002"/>
    <x v="0"/>
  </r>
  <r>
    <n v="286"/>
    <n v="15"/>
    <n v="138"/>
    <s v="Jax"/>
    <s v="Cat"/>
    <s v="Boston Terrier"/>
    <s v="05/30/2023"/>
    <x v="1"/>
    <s v="EM06"/>
    <n v="-141.22739999999999"/>
    <x v="0"/>
  </r>
  <r>
    <n v="287"/>
    <n v="33"/>
    <n v="99"/>
    <s v="Bailey"/>
    <s v="Cat"/>
    <s v="Maine Coon"/>
    <s v="10/23/2023"/>
    <x v="6"/>
    <s v="CHK03"/>
    <n v="181.8212"/>
    <x v="2"/>
  </r>
  <r>
    <n v="288"/>
    <n v="105"/>
    <n v="35"/>
    <s v="Bailey"/>
    <s v="Cat"/>
    <s v="Doberman Pinscher"/>
    <s v="09/16/2023"/>
    <x v="0"/>
    <s v="SUR04"/>
    <n v="192.07159999999999"/>
    <x v="2"/>
  </r>
  <r>
    <n v="289"/>
    <n v="2"/>
    <n v="30"/>
    <s v="Penny"/>
    <s v="Cat"/>
    <s v="Siberian Husky"/>
    <s v="05/06/2023"/>
    <x v="6"/>
    <s v="CHK03"/>
    <n v="996.05380000000002"/>
    <x v="1"/>
  </r>
  <r>
    <n v="290"/>
    <n v="59"/>
    <n v="141"/>
    <s v="Ruby"/>
    <s v="Cat"/>
    <s v="Dachshund"/>
    <s v="08/26/2023"/>
    <x v="2"/>
    <s v="BW07"/>
    <n v="531.97080000000005"/>
    <x v="1"/>
  </r>
  <r>
    <n v="291"/>
    <n v="40"/>
    <n v="136"/>
    <s v="Bear"/>
    <s v="Dog"/>
    <s v="Ragdoll"/>
    <s v="12/08/2023"/>
    <x v="3"/>
    <s v="DEN02"/>
    <n v="-95.172700000000006"/>
    <x v="0"/>
  </r>
  <r>
    <n v="292"/>
    <n v="172"/>
    <n v="55"/>
    <s v="Rocky"/>
    <s v="Cat"/>
    <s v="Border Collie"/>
    <s v="02/19/2023"/>
    <x v="4"/>
    <s v="RAD08"/>
    <n v="367.21850000000001"/>
    <x v="2"/>
  </r>
  <r>
    <n v="293"/>
    <n v="189"/>
    <n v="3"/>
    <s v="Zoey"/>
    <s v="Dog"/>
    <s v="Dachshund"/>
    <s v="07/19/2023"/>
    <x v="5"/>
    <s v="VAC01"/>
    <n v="898.85929999999996"/>
    <x v="1"/>
  </r>
  <r>
    <n v="294"/>
    <n v="66"/>
    <n v="3"/>
    <s v="Harley"/>
    <s v="Cat"/>
    <s v="Bulldog"/>
    <s v="05/19/2023"/>
    <x v="5"/>
    <s v="VAC01"/>
    <n v="-213.45570000000001"/>
    <x v="1"/>
  </r>
  <r>
    <n v="295"/>
    <n v="190"/>
    <n v="65"/>
    <s v="Max"/>
    <s v="Cat"/>
    <s v="Golden Retriever"/>
    <s v="12/18/2023"/>
    <x v="6"/>
    <s v="CHK03"/>
    <n v="336.76499999999999"/>
    <x v="0"/>
  </r>
  <r>
    <n v="296"/>
    <n v="90"/>
    <n v="25"/>
    <s v="Oliver"/>
    <s v="Cat"/>
    <s v="Great Dane"/>
    <s v="09/13/2023"/>
    <x v="1"/>
    <s v="EM06"/>
    <n v="678.88459999999998"/>
    <x v="1"/>
  </r>
  <r>
    <n v="297"/>
    <n v="45"/>
    <n v="54"/>
    <s v="Harley"/>
    <s v="Dog"/>
    <s v="German Shepherd"/>
    <s v="06/08/2023"/>
    <x v="7"/>
    <s v="NT05"/>
    <n v="910.04070000000002"/>
    <x v="1"/>
  </r>
  <r>
    <n v="298"/>
    <n v="63"/>
    <n v="31"/>
    <s v="Bella"/>
    <s v="Cat"/>
    <s v="Boxer"/>
    <s v="11/15/2023"/>
    <x v="6"/>
    <s v="CHK03"/>
    <n v="390.45460000000003"/>
    <x v="2"/>
  </r>
  <r>
    <n v="299"/>
    <n v="55"/>
    <n v="54"/>
    <s v="Finn"/>
    <s v="Dog"/>
    <s v="Great Dane"/>
    <s v="02/11/2023"/>
    <x v="0"/>
    <s v="SUR04"/>
    <n v="174.50280000000001"/>
    <x v="2"/>
  </r>
  <r>
    <n v="300"/>
    <n v="154"/>
    <n v="59"/>
    <s v="Zeus"/>
    <s v="Dog"/>
    <s v="Great Dane"/>
    <s v="09/17/2023"/>
    <x v="6"/>
    <s v="CHK03"/>
    <n v="759.76919999999996"/>
    <x v="0"/>
  </r>
  <r>
    <n v="301"/>
    <n v="37"/>
    <n v="78"/>
    <s v="Blue"/>
    <s v="Cat"/>
    <s v="Sphynx"/>
    <s v="08/23/2023"/>
    <x v="3"/>
    <s v="DEN02"/>
    <n v="730.35530000000006"/>
    <x v="0"/>
  </r>
  <r>
    <n v="302"/>
    <n v="40"/>
    <n v="48"/>
    <s v="Thor"/>
    <s v="Cat"/>
    <s v="Ragdoll"/>
    <s v="02/06/2023"/>
    <x v="2"/>
    <s v="BW07"/>
    <n v="207.572"/>
    <x v="0"/>
  </r>
  <r>
    <n v="303"/>
    <n v="128"/>
    <n v="21"/>
    <s v="Zoey"/>
    <s v="Cat"/>
    <s v="Golden Retriever"/>
    <s v="08/31/2023"/>
    <x v="2"/>
    <s v="BW07"/>
    <n v="564.83489999999995"/>
    <x v="1"/>
  </r>
  <r>
    <n v="304"/>
    <n v="147"/>
    <n v="80"/>
    <s v="Harley"/>
    <s v="Cat"/>
    <s v="Australian Shepherd"/>
    <s v="08/03/2023"/>
    <x v="4"/>
    <s v="RAD08"/>
    <n v="673.06669999999997"/>
    <x v="1"/>
  </r>
  <r>
    <n v="305"/>
    <n v="161"/>
    <n v="2"/>
    <s v="Tucker"/>
    <s v="Dog"/>
    <s v="Cocker Spaniel"/>
    <s v="09/04/2023"/>
    <x v="7"/>
    <s v="NT05"/>
    <n v="482.56450000000001"/>
    <x v="1"/>
  </r>
  <r>
    <n v="306"/>
    <n v="72"/>
    <n v="143"/>
    <s v="Ruby"/>
    <s v="Cat"/>
    <s v="Persian"/>
    <s v="08/04/2023"/>
    <x v="7"/>
    <s v="NT05"/>
    <n v="-275.05759999999998"/>
    <x v="1"/>
  </r>
  <r>
    <n v="307"/>
    <n v="98"/>
    <n v="133"/>
    <s v="Ellie"/>
    <s v="Cat"/>
    <s v="Sphynx"/>
    <s v="05/20/2023"/>
    <x v="0"/>
    <s v="SUR04"/>
    <n v="898.55050000000006"/>
    <x v="1"/>
  </r>
  <r>
    <n v="308"/>
    <n v="23"/>
    <n v="135"/>
    <s v="Duke"/>
    <s v="Cat"/>
    <s v="Siberian Husky"/>
    <s v="01/28/2023"/>
    <x v="4"/>
    <s v="RAD08"/>
    <n v="110.95010000000001"/>
    <x v="2"/>
  </r>
  <r>
    <n v="309"/>
    <n v="96"/>
    <n v="83"/>
    <s v="Shadow"/>
    <s v="Dog"/>
    <s v="Shih Tzu"/>
    <s v="10/27/2023"/>
    <x v="4"/>
    <s v="RAD08"/>
    <n v="965.85090000000002"/>
    <x v="0"/>
  </r>
  <r>
    <n v="310"/>
    <n v="192"/>
    <n v="139"/>
    <s v="Loki"/>
    <s v="Dog"/>
    <s v="Border Collie"/>
    <s v="01/19/2023"/>
    <x v="3"/>
    <s v="DEN02"/>
    <n v="953.96410000000003"/>
    <x v="2"/>
  </r>
  <r>
    <n v="311"/>
    <n v="43"/>
    <n v="147"/>
    <s v="Milo"/>
    <s v="Cat"/>
    <s v="Persian"/>
    <s v="02/26/2023"/>
    <x v="6"/>
    <s v="CHK03"/>
    <n v="355.37060000000002"/>
    <x v="1"/>
  </r>
  <r>
    <n v="312"/>
    <n v="193"/>
    <n v="5"/>
    <s v="Bailey"/>
    <s v="Dog"/>
    <s v="Sphynx"/>
    <s v="10/31/2023"/>
    <x v="0"/>
    <s v="SUR04"/>
    <n v="976.36220000000003"/>
    <x v="2"/>
  </r>
  <r>
    <n v="313"/>
    <n v="85"/>
    <n v="92"/>
    <s v="Tucker"/>
    <s v="Cat"/>
    <s v="Bulldog"/>
    <s v="09/14/2023"/>
    <x v="7"/>
    <s v="NT05"/>
    <n v="543.1345"/>
    <x v="1"/>
  </r>
  <r>
    <n v="314"/>
    <n v="125"/>
    <n v="46"/>
    <s v="Tank"/>
    <s v="Cat"/>
    <s v="Dachshund"/>
    <s v="06/13/2023"/>
    <x v="0"/>
    <s v="SUR04"/>
    <n v="557.70889999999997"/>
    <x v="1"/>
  </r>
  <r>
    <n v="315"/>
    <n v="98"/>
    <n v="18"/>
    <s v="Ruby"/>
    <s v="Cat"/>
    <s v="Ragdoll"/>
    <s v="06/29/2023"/>
    <x v="4"/>
    <s v="RAD08"/>
    <n v="229.7696"/>
    <x v="2"/>
  </r>
  <r>
    <n v="316"/>
    <n v="117"/>
    <n v="36"/>
    <s v="Remy"/>
    <s v="Cat"/>
    <s v="Labrador Retriever"/>
    <s v="06/18/2023"/>
    <x v="2"/>
    <s v="BW07"/>
    <n v="557.04489999999998"/>
    <x v="1"/>
  </r>
  <r>
    <n v="317"/>
    <n v="143"/>
    <n v="83"/>
    <s v="Jax"/>
    <s v="Cat"/>
    <s v="Poodle"/>
    <s v="05/26/2023"/>
    <x v="5"/>
    <s v="VAC01"/>
    <n v="-278.596"/>
    <x v="1"/>
  </r>
  <r>
    <n v="318"/>
    <n v="30"/>
    <n v="121"/>
    <s v="Winston"/>
    <s v="Dog"/>
    <s v="Dachshund"/>
    <s v="10/10/2023"/>
    <x v="3"/>
    <s v="DEN02"/>
    <n v="353.97919999999999"/>
    <x v="2"/>
  </r>
  <r>
    <n v="319"/>
    <n v="119"/>
    <n v="135"/>
    <s v="Stella"/>
    <s v="Dog"/>
    <s v="Scottish Fold"/>
    <s v="08/23/2023"/>
    <x v="2"/>
    <s v="BW07"/>
    <n v="433.38900000000001"/>
    <x v="0"/>
  </r>
  <r>
    <n v="320"/>
    <n v="138"/>
    <n v="20"/>
    <s v="Rocky"/>
    <s v="Cat"/>
    <s v="Siberian Husky"/>
    <s v="12/03/2023"/>
    <x v="4"/>
    <s v="RAD08"/>
    <n v="-151.85919999999999"/>
    <x v="1"/>
  </r>
  <r>
    <n v="321"/>
    <n v="17"/>
    <n v="96"/>
    <s v="Penny"/>
    <s v="Dog"/>
    <s v="Sphynx"/>
    <s v="06/26/2023"/>
    <x v="4"/>
    <s v="RAD08"/>
    <n v="-1.8952"/>
    <x v="0"/>
  </r>
  <r>
    <n v="322"/>
    <n v="157"/>
    <n v="25"/>
    <s v="Jax"/>
    <s v="Dog"/>
    <s v="Sphynx"/>
    <s v="10/10/2023"/>
    <x v="1"/>
    <s v="EM06"/>
    <n v="974.86220000000003"/>
    <x v="1"/>
  </r>
  <r>
    <n v="323"/>
    <n v="16"/>
    <n v="79"/>
    <s v="Riley"/>
    <s v="Cat"/>
    <s v="Russian Blue"/>
    <s v="09/02/2023"/>
    <x v="7"/>
    <s v="NT05"/>
    <n v="76.698400000000007"/>
    <x v="2"/>
  </r>
  <r>
    <n v="324"/>
    <n v="10"/>
    <n v="133"/>
    <s v="Tank"/>
    <s v="Cat"/>
    <s v="Australian Shepherd"/>
    <s v="11/22/2023"/>
    <x v="0"/>
    <s v="SUR04"/>
    <n v="103.9965"/>
    <x v="0"/>
  </r>
  <r>
    <n v="325"/>
    <n v="144"/>
    <n v="31"/>
    <s v="Nova"/>
    <s v="Cat"/>
    <s v="Boston Terrier"/>
    <s v="04/18/2023"/>
    <x v="3"/>
    <s v="DEN02"/>
    <n v="836.17790000000002"/>
    <x v="1"/>
  </r>
  <r>
    <n v="326"/>
    <n v="38"/>
    <n v="102"/>
    <s v="Rosie"/>
    <s v="Dog"/>
    <s v="Bengal"/>
    <s v="04/10/2023"/>
    <x v="2"/>
    <s v="BW07"/>
    <n v="812.47529999999995"/>
    <x v="1"/>
  </r>
  <r>
    <n v="327"/>
    <n v="99"/>
    <n v="127"/>
    <s v="Rocky"/>
    <s v="Cat"/>
    <s v="Chihuahua"/>
    <s v="03/30/2023"/>
    <x v="4"/>
    <s v="RAD08"/>
    <n v="501.78390000000002"/>
    <x v="2"/>
  </r>
  <r>
    <n v="328"/>
    <n v="139"/>
    <n v="45"/>
    <s v="Blue"/>
    <s v="Dog"/>
    <s v="Boxer"/>
    <s v="11/20/2023"/>
    <x v="6"/>
    <s v="CHK03"/>
    <n v="-116.2628"/>
    <x v="1"/>
  </r>
  <r>
    <n v="329"/>
    <n v="27"/>
    <n v="142"/>
    <s v="Max"/>
    <s v="Dog"/>
    <s v="Golden Retriever"/>
    <s v="06/18/2023"/>
    <x v="1"/>
    <s v="EM06"/>
    <n v="200.91300000000001"/>
    <x v="1"/>
  </r>
  <r>
    <n v="330"/>
    <n v="190"/>
    <n v="110"/>
    <s v="Tucker"/>
    <s v="Cat"/>
    <s v="Boxer"/>
    <s v="03/09/2023"/>
    <x v="0"/>
    <s v="SUR04"/>
    <n v="532.35450000000003"/>
    <x v="0"/>
  </r>
  <r>
    <n v="331"/>
    <n v="79"/>
    <n v="37"/>
    <s v="Leo"/>
    <s v="Cat"/>
    <s v="Shih Tzu"/>
    <s v="02/26/2023"/>
    <x v="4"/>
    <s v="RAD08"/>
    <n v="648.24480000000005"/>
    <x v="1"/>
  </r>
  <r>
    <n v="332"/>
    <n v="191"/>
    <n v="107"/>
    <s v="Bailey"/>
    <s v="Dog"/>
    <s v="Bulldog"/>
    <s v="02/04/2023"/>
    <x v="3"/>
    <s v="DEN02"/>
    <n v="358.57369999999997"/>
    <x v="2"/>
  </r>
  <r>
    <n v="333"/>
    <n v="175"/>
    <n v="28"/>
    <s v="Oreo"/>
    <s v="Dog"/>
    <s v="Scottish Fold"/>
    <s v="11/27/2023"/>
    <x v="2"/>
    <s v="BW07"/>
    <n v="574.57420000000002"/>
    <x v="1"/>
  </r>
  <r>
    <n v="334"/>
    <n v="26"/>
    <n v="81"/>
    <s v="Zeus"/>
    <s v="Dog"/>
    <s v="Boxer"/>
    <s v="12/26/2023"/>
    <x v="1"/>
    <s v="EM06"/>
    <n v="387.77409999999998"/>
    <x v="2"/>
  </r>
  <r>
    <n v="335"/>
    <n v="65"/>
    <n v="103"/>
    <s v="Loki"/>
    <s v="Dog"/>
    <s v="Labrador Retriever"/>
    <s v="01/19/2023"/>
    <x v="1"/>
    <s v="EM06"/>
    <n v="939.76189999999997"/>
    <x v="1"/>
  </r>
  <r>
    <n v="336"/>
    <n v="19"/>
    <n v="81"/>
    <s v="Thor"/>
    <s v="Dog"/>
    <s v="Siamese"/>
    <s v="08/06/2023"/>
    <x v="1"/>
    <s v="EM06"/>
    <n v="569.54459999999995"/>
    <x v="2"/>
  </r>
  <r>
    <n v="337"/>
    <n v="119"/>
    <n v="51"/>
    <s v="Rocky"/>
    <s v="Cat"/>
    <s v="Australian Shepherd"/>
    <s v="06/13/2023"/>
    <x v="4"/>
    <s v="RAD08"/>
    <n v="833.15509999999995"/>
    <x v="1"/>
  </r>
  <r>
    <n v="338"/>
    <n v="28"/>
    <n v="71"/>
    <s v="Rocky"/>
    <s v="Dog"/>
    <s v="Bulldog"/>
    <s v="08/14/2023"/>
    <x v="3"/>
    <s v="DEN02"/>
    <n v="947.57910000000004"/>
    <x v="1"/>
  </r>
  <r>
    <n v="339"/>
    <n v="22"/>
    <n v="143"/>
    <s v="Atlas"/>
    <s v="Dog"/>
    <s v="Golden Retriever"/>
    <s v="08/10/2023"/>
    <x v="3"/>
    <s v="DEN02"/>
    <n v="-194.9599"/>
    <x v="1"/>
  </r>
  <r>
    <n v="340"/>
    <n v="189"/>
    <n v="103"/>
    <s v="Thor"/>
    <s v="Cat"/>
    <s v="Siamese"/>
    <s v="01/26/2023"/>
    <x v="0"/>
    <s v="SUR04"/>
    <n v="857.34169999999995"/>
    <x v="1"/>
  </r>
  <r>
    <n v="341"/>
    <n v="48"/>
    <n v="46"/>
    <s v="Chloe"/>
    <s v="Dog"/>
    <s v="Boston Terrier"/>
    <s v="07/15/2023"/>
    <x v="3"/>
    <s v="DEN02"/>
    <n v="967.34190000000001"/>
    <x v="0"/>
  </r>
  <r>
    <n v="342"/>
    <n v="40"/>
    <n v="73"/>
    <s v="Zoey"/>
    <s v="Dog"/>
    <s v="Chihuahua"/>
    <s v="10/09/2023"/>
    <x v="3"/>
    <s v="DEN02"/>
    <n v="5.3227000000000002"/>
    <x v="2"/>
  </r>
  <r>
    <n v="343"/>
    <n v="99"/>
    <n v="101"/>
    <s v="Nala"/>
    <s v="Cat"/>
    <s v="Bengal"/>
    <s v="03/31/2023"/>
    <x v="6"/>
    <s v="CHK03"/>
    <n v="-44.123600000000003"/>
    <x v="0"/>
  </r>
  <r>
    <n v="344"/>
    <n v="176"/>
    <n v="111"/>
    <s v="Charlie"/>
    <s v="Cat"/>
    <s v="British Shorthair"/>
    <s v="07/21/2023"/>
    <x v="4"/>
    <s v="RAD08"/>
    <n v="-22.728400000000001"/>
    <x v="0"/>
  </r>
  <r>
    <n v="345"/>
    <n v="182"/>
    <n v="6"/>
    <s v="Ace"/>
    <s v="Dog"/>
    <s v="Persian"/>
    <s v="11/14/2023"/>
    <x v="3"/>
    <s v="DEN02"/>
    <n v="-89.726699999999994"/>
    <x v="0"/>
  </r>
  <r>
    <n v="346"/>
    <n v="182"/>
    <n v="114"/>
    <s v="Bentley"/>
    <s v="Dog"/>
    <s v="Siberian Husky"/>
    <s v="05/28/2023"/>
    <x v="7"/>
    <s v="NT05"/>
    <n v="-38.319600000000001"/>
    <x v="1"/>
  </r>
  <r>
    <n v="347"/>
    <n v="136"/>
    <n v="101"/>
    <s v="Simba"/>
    <s v="Dog"/>
    <s v="Boxer"/>
    <s v="10/31/2023"/>
    <x v="2"/>
    <s v="BW07"/>
    <n v="22.7257"/>
    <x v="2"/>
  </r>
  <r>
    <n v="348"/>
    <n v="126"/>
    <n v="105"/>
    <s v="Ruby"/>
    <s v="Dog"/>
    <s v="Dachshund"/>
    <s v="02/15/2023"/>
    <x v="4"/>
    <s v="RAD08"/>
    <n v="448.85390000000001"/>
    <x v="1"/>
  </r>
  <r>
    <n v="349"/>
    <n v="112"/>
    <n v="57"/>
    <s v="Ellie"/>
    <s v="Dog"/>
    <s v="Chihuahua"/>
    <s v="04/08/2023"/>
    <x v="4"/>
    <s v="RAD08"/>
    <n v="575.71450000000004"/>
    <x v="1"/>
  </r>
  <r>
    <n v="350"/>
    <n v="179"/>
    <n v="58"/>
    <s v="Sadie"/>
    <s v="Dog"/>
    <s v="Abyssinian"/>
    <s v="01/30/2023"/>
    <x v="7"/>
    <s v="NT05"/>
    <n v="252.13980000000001"/>
    <x v="0"/>
  </r>
  <r>
    <n v="351"/>
    <n v="30"/>
    <n v="38"/>
    <s v="Sadie"/>
    <s v="Cat"/>
    <s v="Maine Coon"/>
    <s v="02/15/2023"/>
    <x v="0"/>
    <s v="SUR04"/>
    <n v="705.02329999999995"/>
    <x v="1"/>
  </r>
  <r>
    <n v="352"/>
    <n v="197"/>
    <n v="15"/>
    <s v="Bailey"/>
    <s v="Dog"/>
    <s v="Siamese"/>
    <s v="09/08/2023"/>
    <x v="0"/>
    <s v="SUR04"/>
    <n v="349.93860000000001"/>
    <x v="1"/>
  </r>
  <r>
    <n v="353"/>
    <n v="94"/>
    <n v="119"/>
    <s v="Lucy"/>
    <s v="Cat"/>
    <s v="French Bulldog"/>
    <s v="04/12/2023"/>
    <x v="0"/>
    <s v="SUR04"/>
    <n v="-154.66380000000001"/>
    <x v="1"/>
  </r>
  <r>
    <n v="354"/>
    <n v="139"/>
    <n v="20"/>
    <s v="Remy"/>
    <s v="Dog"/>
    <s v="Australian Shepherd"/>
    <s v="03/15/2023"/>
    <x v="1"/>
    <s v="EM06"/>
    <n v="876.29039999999998"/>
    <x v="1"/>
  </r>
  <r>
    <n v="355"/>
    <n v="25"/>
    <n v="110"/>
    <s v="Koda"/>
    <s v="Dog"/>
    <s v="Boxer"/>
    <s v="03/24/2023"/>
    <x v="4"/>
    <s v="RAD08"/>
    <n v="732.15030000000002"/>
    <x v="2"/>
  </r>
  <r>
    <n v="356"/>
    <n v="149"/>
    <n v="35"/>
    <s v="Lucy"/>
    <s v="Cat"/>
    <s v="Dachshund"/>
    <s v="12/14/2023"/>
    <x v="3"/>
    <s v="DEN02"/>
    <n v="-293.40989999999999"/>
    <x v="1"/>
  </r>
  <r>
    <n v="357"/>
    <n v="31"/>
    <n v="18"/>
    <s v="Luna"/>
    <s v="Dog"/>
    <s v="Beagle"/>
    <s v="09/17/2023"/>
    <x v="4"/>
    <s v="RAD08"/>
    <n v="418.36950000000002"/>
    <x v="0"/>
  </r>
  <r>
    <n v="358"/>
    <n v="138"/>
    <n v="7"/>
    <s v="Tank"/>
    <s v="Dog"/>
    <s v="Yorkshire Terrier"/>
    <s v="12/26/2023"/>
    <x v="4"/>
    <s v="RAD08"/>
    <n v="-117.49"/>
    <x v="2"/>
  </r>
  <r>
    <n v="359"/>
    <n v="169"/>
    <n v="86"/>
    <s v="Koda"/>
    <s v="Cat"/>
    <s v="Sphynx"/>
    <s v="01/13/2023"/>
    <x v="3"/>
    <s v="DEN02"/>
    <n v="932.58219999999994"/>
    <x v="1"/>
  </r>
  <r>
    <n v="360"/>
    <n v="43"/>
    <n v="105"/>
    <s v="Pepper"/>
    <s v="Cat"/>
    <s v="Poodle"/>
    <s v="11/26/2023"/>
    <x v="6"/>
    <s v="CHK03"/>
    <n v="731.59640000000002"/>
    <x v="0"/>
  </r>
  <r>
    <n v="361"/>
    <n v="36"/>
    <n v="110"/>
    <s v="Nala"/>
    <s v="Dog"/>
    <s v="Boxer"/>
    <s v="05/14/2023"/>
    <x v="4"/>
    <s v="RAD08"/>
    <n v="-279.35340000000002"/>
    <x v="1"/>
  </r>
  <r>
    <n v="362"/>
    <n v="127"/>
    <n v="10"/>
    <s v="Duke"/>
    <s v="Cat"/>
    <s v="Australian Shepherd"/>
    <s v="05/13/2023"/>
    <x v="1"/>
    <s v="EM06"/>
    <n v="-167.70580000000001"/>
    <x v="2"/>
  </r>
  <r>
    <n v="363"/>
    <n v="48"/>
    <n v="47"/>
    <s v="Zoey"/>
    <s v="Cat"/>
    <s v="Sphynx"/>
    <s v="10/01/2023"/>
    <x v="6"/>
    <s v="CHK03"/>
    <n v="757.41949999999997"/>
    <x v="2"/>
  </r>
  <r>
    <n v="364"/>
    <n v="181"/>
    <n v="52"/>
    <s v="Loki"/>
    <s v="Dog"/>
    <s v="Beagle"/>
    <s v="12/04/2023"/>
    <x v="4"/>
    <s v="RAD08"/>
    <n v="-231.5119"/>
    <x v="1"/>
  </r>
  <r>
    <n v="365"/>
    <n v="10"/>
    <n v="41"/>
    <s v="Oreo"/>
    <s v="Cat"/>
    <s v="Siberian Husky"/>
    <s v="06/24/2023"/>
    <x v="4"/>
    <s v="RAD08"/>
    <n v="820.79459999999995"/>
    <x v="0"/>
  </r>
  <r>
    <n v="366"/>
    <n v="1"/>
    <n v="20"/>
    <s v="Zeus"/>
    <s v="Dog"/>
    <s v="Chihuahua"/>
    <s v="01/19/2023"/>
    <x v="1"/>
    <s v="EM06"/>
    <n v="-253.34790000000001"/>
    <x v="1"/>
  </r>
  <r>
    <n v="367"/>
    <n v="141"/>
    <n v="64"/>
    <s v="Nova"/>
    <s v="Dog"/>
    <s v="Maine Coon"/>
    <s v="09/10/2023"/>
    <x v="1"/>
    <s v="EM06"/>
    <n v="-28.445799999999998"/>
    <x v="0"/>
  </r>
  <r>
    <n v="368"/>
    <n v="95"/>
    <n v="95"/>
    <s v="Penny"/>
    <s v="Cat"/>
    <s v="Australian Shepherd"/>
    <s v="03/14/2023"/>
    <x v="7"/>
    <s v="NT05"/>
    <n v="-230.43950000000001"/>
    <x v="0"/>
  </r>
  <r>
    <n v="369"/>
    <n v="134"/>
    <n v="93"/>
    <s v="Shadow"/>
    <s v="Cat"/>
    <s v="Doberman Pinscher"/>
    <s v="12/23/2023"/>
    <x v="4"/>
    <s v="RAD08"/>
    <n v="559.65480000000002"/>
    <x v="0"/>
  </r>
  <r>
    <n v="370"/>
    <n v="97"/>
    <n v="110"/>
    <s v="Duke"/>
    <s v="Cat"/>
    <s v="Sphynx"/>
    <s v="09/06/2023"/>
    <x v="6"/>
    <s v="CHK03"/>
    <n v="-83.119"/>
    <x v="1"/>
  </r>
  <r>
    <n v="371"/>
    <n v="118"/>
    <n v="108"/>
    <s v="Bailey"/>
    <s v="Dog"/>
    <s v="Boston Terrier"/>
    <s v="11/30/2023"/>
    <x v="0"/>
    <s v="SUR04"/>
    <n v="605.22699999999998"/>
    <x v="0"/>
  </r>
  <r>
    <n v="372"/>
    <n v="132"/>
    <n v="98"/>
    <s v="Koda"/>
    <s v="Cat"/>
    <s v="Siberian Husky"/>
    <s v="07/16/2023"/>
    <x v="6"/>
    <s v="CHK03"/>
    <n v="891.02890000000002"/>
    <x v="1"/>
  </r>
  <r>
    <n v="373"/>
    <n v="60"/>
    <n v="39"/>
    <s v="Atlas"/>
    <s v="Cat"/>
    <s v="Siberian Husky"/>
    <s v="07/31/2023"/>
    <x v="2"/>
    <s v="BW07"/>
    <n v="257.0926"/>
    <x v="2"/>
  </r>
  <r>
    <n v="374"/>
    <n v="107"/>
    <n v="125"/>
    <s v="Tank"/>
    <s v="Dog"/>
    <s v="Golden Retriever"/>
    <s v="01/11/2023"/>
    <x v="6"/>
    <s v="CHK03"/>
    <n v="-118.1632"/>
    <x v="2"/>
  </r>
  <r>
    <n v="375"/>
    <n v="174"/>
    <n v="29"/>
    <s v="Tucker"/>
    <s v="Cat"/>
    <s v="Bengal"/>
    <s v="07/24/2023"/>
    <x v="0"/>
    <s v="SUR04"/>
    <n v="445.35649999999998"/>
    <x v="1"/>
  </r>
  <r>
    <n v="376"/>
    <n v="97"/>
    <n v="12"/>
    <s v="Simba"/>
    <s v="Cat"/>
    <s v="Boxer"/>
    <s v="05/22/2023"/>
    <x v="4"/>
    <s v="RAD08"/>
    <n v="-269.983"/>
    <x v="1"/>
  </r>
  <r>
    <n v="377"/>
    <n v="48"/>
    <n v="35"/>
    <s v="Oliver"/>
    <s v="Cat"/>
    <s v="Rottweiler"/>
    <s v="07/04/2023"/>
    <x v="2"/>
    <s v="BW07"/>
    <n v="-50.144599999999997"/>
    <x v="1"/>
  </r>
  <r>
    <n v="378"/>
    <n v="5"/>
    <n v="49"/>
    <s v="Charlie"/>
    <s v="Dog"/>
    <s v="Persian"/>
    <s v="10/28/2023"/>
    <x v="0"/>
    <s v="SUR04"/>
    <n v="273.90309999999999"/>
    <x v="1"/>
  </r>
  <r>
    <n v="379"/>
    <n v="95"/>
    <n v="12"/>
    <s v="Gizmo"/>
    <s v="Dog"/>
    <s v="Shih Tzu"/>
    <s v="01/29/2023"/>
    <x v="3"/>
    <s v="DEN02"/>
    <n v="-294.6327"/>
    <x v="1"/>
  </r>
  <r>
    <n v="380"/>
    <n v="19"/>
    <n v="19"/>
    <s v="Duke"/>
    <s v="Dog"/>
    <s v="Abyssinian"/>
    <s v="11/29/2023"/>
    <x v="3"/>
    <s v="DEN02"/>
    <n v="52.862499999999997"/>
    <x v="1"/>
  </r>
  <r>
    <n v="381"/>
    <n v="133"/>
    <n v="13"/>
    <s v="Nova"/>
    <s v="Cat"/>
    <s v="Maine Coon"/>
    <s v="09/02/2023"/>
    <x v="3"/>
    <s v="DEN02"/>
    <n v="116.6313"/>
    <x v="2"/>
  </r>
  <r>
    <n v="382"/>
    <n v="196"/>
    <n v="57"/>
    <s v="Remy"/>
    <s v="Dog"/>
    <s v="Bulldog"/>
    <s v="08/14/2023"/>
    <x v="0"/>
    <s v="SUR04"/>
    <n v="881.03610000000003"/>
    <x v="0"/>
  </r>
  <r>
    <n v="383"/>
    <n v="144"/>
    <n v="46"/>
    <s v="Ace"/>
    <s v="Dog"/>
    <s v="Rottweiler"/>
    <s v="05/06/2023"/>
    <x v="0"/>
    <s v="SUR04"/>
    <n v="-75.9696"/>
    <x v="2"/>
  </r>
  <r>
    <n v="384"/>
    <n v="157"/>
    <n v="110"/>
    <s v="Lucy"/>
    <s v="Dog"/>
    <s v="Scottish Fold"/>
    <s v="08/12/2023"/>
    <x v="6"/>
    <s v="CHK03"/>
    <n v="806.13829999999996"/>
    <x v="2"/>
  </r>
  <r>
    <n v="385"/>
    <n v="118"/>
    <n v="146"/>
    <s v="Pepper"/>
    <s v="Dog"/>
    <s v="Australian Shepherd"/>
    <s v="11/05/2023"/>
    <x v="7"/>
    <s v="NT05"/>
    <n v="-290.27789999999999"/>
    <x v="1"/>
  </r>
  <r>
    <n v="386"/>
    <n v="149"/>
    <n v="101"/>
    <s v="Jax"/>
    <s v="Cat"/>
    <s v="French Bulldog"/>
    <s v="04/18/2023"/>
    <x v="4"/>
    <s v="RAD08"/>
    <n v="868.63109999999995"/>
    <x v="1"/>
  </r>
  <r>
    <n v="387"/>
    <n v="193"/>
    <n v="7"/>
    <s v="Daisy"/>
    <s v="Cat"/>
    <s v="Labrador Retriever"/>
    <s v="10/23/2023"/>
    <x v="0"/>
    <s v="SUR04"/>
    <n v="505.68090000000001"/>
    <x v="1"/>
  </r>
  <r>
    <n v="388"/>
    <n v="48"/>
    <n v="106"/>
    <s v="Harley"/>
    <s v="Cat"/>
    <s v="Boston Terrier"/>
    <s v="08/13/2023"/>
    <x v="3"/>
    <s v="DEN02"/>
    <n v="647.15909999999997"/>
    <x v="0"/>
  </r>
  <r>
    <n v="389"/>
    <n v="84"/>
    <n v="140"/>
    <s v="Loki"/>
    <s v="Dog"/>
    <s v="Abyssinian"/>
    <s v="07/27/2023"/>
    <x v="7"/>
    <s v="NT05"/>
    <n v="-48.2012"/>
    <x v="2"/>
  </r>
  <r>
    <n v="390"/>
    <n v="22"/>
    <n v="137"/>
    <s v="Tucker"/>
    <s v="Dog"/>
    <s v="Bengal"/>
    <s v="05/07/2023"/>
    <x v="6"/>
    <s v="CHK03"/>
    <n v="-48.435899999999997"/>
    <x v="2"/>
  </r>
  <r>
    <n v="391"/>
    <n v="130"/>
    <n v="135"/>
    <s v="Nova"/>
    <s v="Dog"/>
    <s v="German Shepherd"/>
    <s v="12/18/2023"/>
    <x v="5"/>
    <s v="VAC01"/>
    <n v="277.10289999999998"/>
    <x v="0"/>
  </r>
  <r>
    <n v="392"/>
    <n v="114"/>
    <n v="128"/>
    <s v="Bailey"/>
    <s v="Dog"/>
    <s v="Maine Coon"/>
    <s v="03/31/2023"/>
    <x v="5"/>
    <s v="VAC01"/>
    <n v="100.08759999999999"/>
    <x v="1"/>
  </r>
  <r>
    <n v="393"/>
    <n v="151"/>
    <n v="117"/>
    <s v="Bailey"/>
    <s v="Dog"/>
    <s v="Border Collie"/>
    <s v="10/07/2023"/>
    <x v="3"/>
    <s v="DEN02"/>
    <n v="127.0641"/>
    <x v="0"/>
  </r>
  <r>
    <n v="394"/>
    <n v="118"/>
    <n v="29"/>
    <s v="Gizmo"/>
    <s v="Cat"/>
    <s v="Bulldog"/>
    <s v="02/22/2023"/>
    <x v="4"/>
    <s v="RAD08"/>
    <n v="-76.145700000000005"/>
    <x v="1"/>
  </r>
  <r>
    <n v="395"/>
    <n v="19"/>
    <n v="131"/>
    <s v="Blue"/>
    <s v="Cat"/>
    <s v="Shih Tzu"/>
    <s v="07/09/2023"/>
    <x v="2"/>
    <s v="BW07"/>
    <n v="875.32640000000004"/>
    <x v="2"/>
  </r>
  <r>
    <n v="396"/>
    <n v="31"/>
    <n v="22"/>
    <s v="Tank"/>
    <s v="Cat"/>
    <s v="Ragdoll"/>
    <s v="01/21/2023"/>
    <x v="4"/>
    <s v="RAD08"/>
    <n v="21.060400000000001"/>
    <x v="2"/>
  </r>
  <r>
    <n v="397"/>
    <n v="52"/>
    <n v="150"/>
    <s v="Jax"/>
    <s v="Dog"/>
    <s v="Maine Coon"/>
    <s v="07/29/2023"/>
    <x v="2"/>
    <s v="BW07"/>
    <n v="282.67739999999998"/>
    <x v="0"/>
  </r>
  <r>
    <n v="398"/>
    <n v="161"/>
    <n v="85"/>
    <s v="Lucy"/>
    <s v="Dog"/>
    <s v="Labrador Retriever"/>
    <s v="01/05/2023"/>
    <x v="0"/>
    <s v="SUR04"/>
    <n v="-265.76659999999998"/>
    <x v="2"/>
  </r>
  <r>
    <n v="399"/>
    <n v="119"/>
    <n v="116"/>
    <s v="Cooper"/>
    <s v="Dog"/>
    <s v="Ragdoll"/>
    <s v="09/14/2023"/>
    <x v="2"/>
    <s v="BW07"/>
    <n v="656.40539999999999"/>
    <x v="1"/>
  </r>
  <r>
    <n v="400"/>
    <n v="30"/>
    <n v="82"/>
    <s v="Scout"/>
    <s v="Dog"/>
    <s v="Siamese"/>
    <s v="06/12/2023"/>
    <x v="6"/>
    <s v="CHK03"/>
    <n v="59.463900000000002"/>
    <x v="1"/>
  </r>
  <r>
    <n v="401"/>
    <n v="7"/>
    <n v="53"/>
    <s v="Ruby"/>
    <s v="Cat"/>
    <s v="Abyssinian"/>
    <s v="10/01/2023"/>
    <x v="7"/>
    <s v="NT05"/>
    <n v="49.212899999999998"/>
    <x v="1"/>
  </r>
  <r>
    <n v="402"/>
    <n v="91"/>
    <n v="18"/>
    <s v="Stella"/>
    <s v="Cat"/>
    <s v="Russian Blue"/>
    <s v="11/15/2023"/>
    <x v="7"/>
    <s v="NT05"/>
    <n v="649.32560000000001"/>
    <x v="0"/>
  </r>
  <r>
    <n v="403"/>
    <n v="29"/>
    <n v="120"/>
    <s v="Oreo"/>
    <s v="Cat"/>
    <s v="Labrador Retriever"/>
    <s v="12/14/2023"/>
    <x v="0"/>
    <s v="SUR04"/>
    <n v="634.02279999999996"/>
    <x v="1"/>
  </r>
  <r>
    <n v="404"/>
    <n v="169"/>
    <n v="81"/>
    <s v="Rosie"/>
    <s v="Dog"/>
    <s v="Cocker Spaniel"/>
    <s v="05/20/2023"/>
    <x v="3"/>
    <s v="DEN02"/>
    <n v="-154.03890000000001"/>
    <x v="2"/>
  </r>
  <r>
    <n v="405"/>
    <n v="58"/>
    <n v="118"/>
    <s v="Cooper"/>
    <s v="Dog"/>
    <s v="Poodle"/>
    <s v="03/04/2023"/>
    <x v="5"/>
    <s v="VAC01"/>
    <n v="461.10359999999997"/>
    <x v="2"/>
  </r>
  <r>
    <n v="406"/>
    <n v="162"/>
    <n v="93"/>
    <s v="Duke"/>
    <s v="Cat"/>
    <s v="Abyssinian"/>
    <s v="09/28/2023"/>
    <x v="2"/>
    <s v="BW07"/>
    <n v="146.49590000000001"/>
    <x v="0"/>
  </r>
  <r>
    <n v="407"/>
    <n v="65"/>
    <n v="103"/>
    <s v="Riley"/>
    <s v="Cat"/>
    <s v="Border Collie"/>
    <s v="10/19/2023"/>
    <x v="1"/>
    <s v="EM06"/>
    <n v="-52.04"/>
    <x v="1"/>
  </r>
  <r>
    <n v="408"/>
    <n v="33"/>
    <n v="4"/>
    <s v="Rosie"/>
    <s v="Dog"/>
    <s v="Siamese"/>
    <s v="10/26/2023"/>
    <x v="4"/>
    <s v="RAD08"/>
    <n v="697.46889999999996"/>
    <x v="0"/>
  </r>
  <r>
    <n v="409"/>
    <n v="183"/>
    <n v="150"/>
    <s v="Ellie"/>
    <s v="Dog"/>
    <s v="Russian Blue"/>
    <s v="06/04/2023"/>
    <x v="2"/>
    <s v="BW07"/>
    <n v="723.11189999999999"/>
    <x v="2"/>
  </r>
  <r>
    <n v="410"/>
    <n v="32"/>
    <n v="64"/>
    <s v="Blue"/>
    <s v="Dog"/>
    <s v="Poodle"/>
    <s v="06/08/2023"/>
    <x v="5"/>
    <s v="VAC01"/>
    <n v="229.51169999999999"/>
    <x v="1"/>
  </r>
  <r>
    <n v="411"/>
    <n v="171"/>
    <n v="115"/>
    <s v="Winston"/>
    <s v="Dog"/>
    <s v="Chihuahua"/>
    <s v="03/14/2023"/>
    <x v="1"/>
    <s v="EM06"/>
    <n v="68.335300000000004"/>
    <x v="0"/>
  </r>
  <r>
    <n v="412"/>
    <n v="23"/>
    <n v="111"/>
    <s v="Leo"/>
    <s v="Dog"/>
    <s v="Boston Terrier"/>
    <s v="05/24/2023"/>
    <x v="0"/>
    <s v="SUR04"/>
    <n v="842.56870000000004"/>
    <x v="1"/>
  </r>
  <r>
    <n v="413"/>
    <n v="127"/>
    <n v="101"/>
    <s v="Blue"/>
    <s v="Dog"/>
    <s v="Cocker Spaniel"/>
    <s v="09/09/2023"/>
    <x v="7"/>
    <s v="NT05"/>
    <n v="52.573999999999998"/>
    <x v="1"/>
  </r>
  <r>
    <n v="414"/>
    <n v="128"/>
    <n v="27"/>
    <s v="Nala"/>
    <s v="Cat"/>
    <s v="Ragdoll"/>
    <s v="08/06/2023"/>
    <x v="6"/>
    <s v="CHK03"/>
    <n v="502.20069999999998"/>
    <x v="2"/>
  </r>
  <r>
    <n v="415"/>
    <n v="93"/>
    <n v="46"/>
    <s v="Scout"/>
    <s v="Cat"/>
    <s v="Australian Shepherd"/>
    <s v="07/29/2023"/>
    <x v="1"/>
    <s v="EM06"/>
    <n v="881.2441"/>
    <x v="0"/>
  </r>
  <r>
    <n v="416"/>
    <n v="98"/>
    <n v="138"/>
    <s v="Moose"/>
    <s v="Dog"/>
    <s v="Ragdoll"/>
    <s v="07/16/2023"/>
    <x v="0"/>
    <s v="SUR04"/>
    <n v="137.04509999999999"/>
    <x v="2"/>
  </r>
  <r>
    <n v="417"/>
    <n v="54"/>
    <n v="3"/>
    <s v="Loki"/>
    <s v="Cat"/>
    <s v="Australian Shepherd"/>
    <s v="02/12/2023"/>
    <x v="6"/>
    <s v="CHK03"/>
    <n v="-71.841300000000004"/>
    <x v="1"/>
  </r>
  <r>
    <n v="418"/>
    <n v="191"/>
    <n v="105"/>
    <s v="Rocky"/>
    <s v="Dog"/>
    <s v="Australian Shepherd"/>
    <s v="02/17/2023"/>
    <x v="5"/>
    <s v="VAC01"/>
    <n v="438.97129999999999"/>
    <x v="1"/>
  </r>
  <r>
    <n v="419"/>
    <n v="42"/>
    <n v="123"/>
    <s v="Sadie"/>
    <s v="Cat"/>
    <s v="Golden Retriever"/>
    <s v="07/04/2023"/>
    <x v="7"/>
    <s v="NT05"/>
    <n v="236.92920000000001"/>
    <x v="0"/>
  </r>
  <r>
    <n v="420"/>
    <n v="169"/>
    <n v="102"/>
    <s v="Bailey"/>
    <s v="Cat"/>
    <s v="Boston Terrier"/>
    <s v="08/04/2023"/>
    <x v="2"/>
    <s v="BW07"/>
    <n v="520.78129999999999"/>
    <x v="1"/>
  </r>
  <r>
    <n v="421"/>
    <n v="195"/>
    <n v="56"/>
    <s v="Daisy"/>
    <s v="Cat"/>
    <s v="Boxer"/>
    <s v="03/15/2023"/>
    <x v="3"/>
    <s v="DEN02"/>
    <n v="294.92590000000001"/>
    <x v="1"/>
  </r>
  <r>
    <n v="422"/>
    <n v="60"/>
    <n v="3"/>
    <s v="Sadie"/>
    <s v="Dog"/>
    <s v="Poodle"/>
    <s v="01/29/2023"/>
    <x v="1"/>
    <s v="EM06"/>
    <n v="127.8862"/>
    <x v="2"/>
  </r>
  <r>
    <n v="423"/>
    <n v="21"/>
    <n v="5"/>
    <s v="Atlas"/>
    <s v="Cat"/>
    <s v="Russian Blue"/>
    <s v="02/25/2023"/>
    <x v="7"/>
    <s v="NT05"/>
    <n v="605.0865"/>
    <x v="2"/>
  </r>
  <r>
    <n v="424"/>
    <n v="191"/>
    <n v="10"/>
    <s v="Simba"/>
    <s v="Cat"/>
    <s v="Cocker Spaniel"/>
    <s v="03/03/2023"/>
    <x v="1"/>
    <s v="EM06"/>
    <n v="-49.531799999999997"/>
    <x v="0"/>
  </r>
  <r>
    <n v="425"/>
    <n v="166"/>
    <n v="59"/>
    <s v="Duke"/>
    <s v="Dog"/>
    <s v="Ragdoll"/>
    <s v="12/24/2023"/>
    <x v="7"/>
    <s v="NT05"/>
    <n v="-15.394600000000001"/>
    <x v="0"/>
  </r>
  <r>
    <n v="426"/>
    <n v="55"/>
    <n v="113"/>
    <s v="Finn"/>
    <s v="Dog"/>
    <s v="Border Collie"/>
    <s v="06/19/2023"/>
    <x v="3"/>
    <s v="DEN02"/>
    <n v="354.79910000000001"/>
    <x v="1"/>
  </r>
  <r>
    <n v="427"/>
    <n v="155"/>
    <n v="62"/>
    <s v="Lucy"/>
    <s v="Cat"/>
    <s v="Maine Coon"/>
    <s v="12/25/2023"/>
    <x v="3"/>
    <s v="DEN02"/>
    <n v="69.934600000000003"/>
    <x v="1"/>
  </r>
  <r>
    <n v="428"/>
    <n v="156"/>
    <n v="11"/>
    <s v="Zoey"/>
    <s v="Cat"/>
    <s v="Maine Coon"/>
    <s v="01/12/2023"/>
    <x v="2"/>
    <s v="BW07"/>
    <n v="15.882"/>
    <x v="0"/>
  </r>
  <r>
    <n v="429"/>
    <n v="187"/>
    <n v="57"/>
    <s v="Finn"/>
    <s v="Cat"/>
    <s v="Golden Retriever"/>
    <s v="11/19/2023"/>
    <x v="3"/>
    <s v="DEN02"/>
    <n v="28.459700000000002"/>
    <x v="1"/>
  </r>
  <r>
    <n v="430"/>
    <n v="79"/>
    <n v="16"/>
    <s v="Winston"/>
    <s v="Cat"/>
    <s v="Bengal"/>
    <s v="10/21/2023"/>
    <x v="5"/>
    <s v="VAC01"/>
    <n v="345.41129999999998"/>
    <x v="2"/>
  </r>
  <r>
    <n v="431"/>
    <n v="197"/>
    <n v="96"/>
    <s v="Bentley"/>
    <s v="Cat"/>
    <s v="Beagle"/>
    <s v="10/07/2023"/>
    <x v="1"/>
    <s v="EM06"/>
    <n v="218.51599999999999"/>
    <x v="0"/>
  </r>
  <r>
    <n v="432"/>
    <n v="191"/>
    <n v="65"/>
    <s v="Finn"/>
    <s v="Dog"/>
    <s v="Siamese"/>
    <s v="06/06/2023"/>
    <x v="7"/>
    <s v="NT05"/>
    <n v="696.08249999999998"/>
    <x v="1"/>
  </r>
  <r>
    <n v="433"/>
    <n v="129"/>
    <n v="8"/>
    <s v="Cooper"/>
    <s v="Dog"/>
    <s v="Siberian Husky"/>
    <s v="04/20/2023"/>
    <x v="3"/>
    <s v="DEN02"/>
    <n v="-115.9387"/>
    <x v="1"/>
  </r>
  <r>
    <n v="434"/>
    <n v="149"/>
    <n v="150"/>
    <s v="Pepper"/>
    <s v="Cat"/>
    <s v="Boston Terrier"/>
    <s v="12/15/2023"/>
    <x v="4"/>
    <s v="RAD08"/>
    <n v="-42.471699999999998"/>
    <x v="2"/>
  </r>
  <r>
    <n v="435"/>
    <n v="50"/>
    <n v="32"/>
    <s v="Duke"/>
    <s v="Dog"/>
    <s v="British Shorthair"/>
    <s v="10/10/2023"/>
    <x v="2"/>
    <s v="BW07"/>
    <n v="272.9402"/>
    <x v="1"/>
  </r>
  <r>
    <n v="436"/>
    <n v="140"/>
    <n v="25"/>
    <s v="Atlas"/>
    <s v="Dog"/>
    <s v="Ragdoll"/>
    <s v="04/14/2023"/>
    <x v="1"/>
    <s v="EM06"/>
    <n v="750.29740000000004"/>
    <x v="1"/>
  </r>
  <r>
    <n v="437"/>
    <n v="158"/>
    <n v="93"/>
    <s v="Daisy"/>
    <s v="Cat"/>
    <s v="Bulldog"/>
    <s v="12/22/2023"/>
    <x v="3"/>
    <s v="DEN02"/>
    <n v="268.58390000000003"/>
    <x v="1"/>
  </r>
  <r>
    <n v="438"/>
    <n v="142"/>
    <n v="122"/>
    <s v="Loki"/>
    <s v="Dog"/>
    <s v="Abyssinian"/>
    <s v="01/07/2023"/>
    <x v="6"/>
    <s v="CHK03"/>
    <n v="216.01060000000001"/>
    <x v="1"/>
  </r>
  <r>
    <n v="439"/>
    <n v="10"/>
    <n v="5"/>
    <s v="Loki"/>
    <s v="Dog"/>
    <s v="Scottish Fold"/>
    <s v="12/18/2023"/>
    <x v="7"/>
    <s v="NT05"/>
    <n v="625.23009999999999"/>
    <x v="1"/>
  </r>
  <r>
    <n v="440"/>
    <n v="16"/>
    <n v="101"/>
    <s v="Bailey"/>
    <s v="Dog"/>
    <s v="Boxer"/>
    <s v="10/07/2023"/>
    <x v="2"/>
    <s v="BW07"/>
    <n v="561.62599999999998"/>
    <x v="2"/>
  </r>
  <r>
    <n v="441"/>
    <n v="151"/>
    <n v="10"/>
    <s v="Finn"/>
    <s v="Dog"/>
    <s v="Persian"/>
    <s v="12/30/2023"/>
    <x v="6"/>
    <s v="CHK03"/>
    <n v="198.31469999999999"/>
    <x v="0"/>
  </r>
  <r>
    <n v="442"/>
    <n v="119"/>
    <n v="80"/>
    <s v="Nova"/>
    <s v="Cat"/>
    <s v="Boxer"/>
    <s v="10/28/2023"/>
    <x v="2"/>
    <s v="BW07"/>
    <n v="41.808"/>
    <x v="1"/>
  </r>
  <r>
    <n v="443"/>
    <n v="97"/>
    <n v="63"/>
    <s v="Daisy"/>
    <s v="Dog"/>
    <s v="Boston Terrier"/>
    <s v="09/21/2023"/>
    <x v="5"/>
    <s v="VAC01"/>
    <n v="14.260400000000001"/>
    <x v="2"/>
  </r>
  <r>
    <n v="444"/>
    <n v="145"/>
    <n v="97"/>
    <s v="Winston"/>
    <s v="Cat"/>
    <s v="Maine Coon"/>
    <s v="10/25/2023"/>
    <x v="2"/>
    <s v="BW07"/>
    <n v="320.67250000000001"/>
    <x v="1"/>
  </r>
  <r>
    <n v="445"/>
    <n v="99"/>
    <n v="150"/>
    <s v="Marley"/>
    <s v="Cat"/>
    <s v="Chihuahua"/>
    <s v="04/07/2023"/>
    <x v="5"/>
    <s v="VAC01"/>
    <n v="335.90519999999998"/>
    <x v="2"/>
  </r>
  <r>
    <n v="446"/>
    <n v="59"/>
    <n v="101"/>
    <s v="Bella"/>
    <s v="Dog"/>
    <s v="Bulldog"/>
    <s v="09/27/2023"/>
    <x v="2"/>
    <s v="BW07"/>
    <n v="-101.4098"/>
    <x v="0"/>
  </r>
  <r>
    <n v="447"/>
    <n v="77"/>
    <n v="141"/>
    <s v="Ellie"/>
    <s v="Cat"/>
    <s v="Sphynx"/>
    <s v="09/26/2023"/>
    <x v="7"/>
    <s v="NT05"/>
    <n v="487.64760000000001"/>
    <x v="2"/>
  </r>
  <r>
    <n v="448"/>
    <n v="133"/>
    <n v="104"/>
    <s v="Zeus"/>
    <s v="Cat"/>
    <s v="French Bulldog"/>
    <s v="09/19/2023"/>
    <x v="5"/>
    <s v="VAC01"/>
    <n v="-74.623000000000005"/>
    <x v="1"/>
  </r>
  <r>
    <n v="449"/>
    <n v="113"/>
    <n v="131"/>
    <s v="Bear"/>
    <s v="Cat"/>
    <s v="Persian"/>
    <s v="04/24/2023"/>
    <x v="3"/>
    <s v="DEN02"/>
    <n v="413.75779999999997"/>
    <x v="1"/>
  </r>
  <r>
    <n v="450"/>
    <n v="185"/>
    <n v="31"/>
    <s v="Stella"/>
    <s v="Cat"/>
    <s v="Chihuahua"/>
    <s v="06/03/2023"/>
    <x v="6"/>
    <s v="CHK03"/>
    <n v="516.97379999999998"/>
    <x v="1"/>
  </r>
  <r>
    <n v="451"/>
    <n v="100"/>
    <n v="89"/>
    <s v="Luna"/>
    <s v="Dog"/>
    <s v="Russian Blue"/>
    <s v="10/27/2023"/>
    <x v="5"/>
    <s v="VAC01"/>
    <n v="772.51300000000003"/>
    <x v="1"/>
  </r>
  <r>
    <n v="452"/>
    <n v="90"/>
    <n v="100"/>
    <s v="Moose"/>
    <s v="Dog"/>
    <s v="Australian Shepherd"/>
    <s v="07/07/2023"/>
    <x v="7"/>
    <s v="NT05"/>
    <n v="-265.10730000000001"/>
    <x v="1"/>
  </r>
  <r>
    <n v="453"/>
    <n v="186"/>
    <n v="35"/>
    <s v="Ellie"/>
    <s v="Cat"/>
    <s v="Labrador Retriever"/>
    <s v="10/29/2023"/>
    <x v="2"/>
    <s v="BW07"/>
    <n v="751.71759999999995"/>
    <x v="1"/>
  </r>
  <r>
    <n v="454"/>
    <n v="109"/>
    <n v="1"/>
    <s v="Ace"/>
    <s v="Dog"/>
    <s v="Siamese"/>
    <s v="10/26/2023"/>
    <x v="0"/>
    <s v="SUR04"/>
    <n v="-196.24629999999999"/>
    <x v="2"/>
  </r>
  <r>
    <n v="455"/>
    <n v="158"/>
    <n v="11"/>
    <s v="Bear"/>
    <s v="Cat"/>
    <s v="Sphynx"/>
    <s v="04/07/2023"/>
    <x v="0"/>
    <s v="SUR04"/>
    <n v="411.00389999999999"/>
    <x v="1"/>
  </r>
  <r>
    <n v="456"/>
    <n v="96"/>
    <n v="34"/>
    <s v="Bear"/>
    <s v="Cat"/>
    <s v="Siamese"/>
    <s v="05/23/2023"/>
    <x v="0"/>
    <s v="SUR04"/>
    <n v="-146.6465"/>
    <x v="0"/>
  </r>
  <r>
    <n v="457"/>
    <n v="91"/>
    <n v="43"/>
    <s v="Winston"/>
    <s v="Cat"/>
    <s v="Siamese"/>
    <s v="01/24/2023"/>
    <x v="7"/>
    <s v="NT05"/>
    <n v="887.30089999999996"/>
    <x v="2"/>
  </r>
  <r>
    <n v="458"/>
    <n v="84"/>
    <n v="48"/>
    <s v="Loki"/>
    <s v="Dog"/>
    <s v="Chihuahua"/>
    <s v="05/14/2023"/>
    <x v="5"/>
    <s v="VAC01"/>
    <n v="548.89779999999996"/>
    <x v="0"/>
  </r>
  <r>
    <n v="459"/>
    <n v="130"/>
    <n v="123"/>
    <s v="Nova"/>
    <s v="Dog"/>
    <s v="Shih Tzu"/>
    <s v="02/20/2023"/>
    <x v="4"/>
    <s v="RAD08"/>
    <n v="-278.65839999999997"/>
    <x v="2"/>
  </r>
  <r>
    <n v="460"/>
    <n v="183"/>
    <n v="94"/>
    <s v="Zeus"/>
    <s v="Dog"/>
    <s v="Boston Terrier"/>
    <s v="06/04/2023"/>
    <x v="1"/>
    <s v="EM06"/>
    <n v="87.957400000000007"/>
    <x v="1"/>
  </r>
  <r>
    <n v="461"/>
    <n v="193"/>
    <n v="128"/>
    <s v="Milo"/>
    <s v="Cat"/>
    <s v="Bulldog"/>
    <s v="03/24/2023"/>
    <x v="4"/>
    <s v="RAD08"/>
    <n v="916.63469999999995"/>
    <x v="1"/>
  </r>
  <r>
    <n v="462"/>
    <n v="33"/>
    <n v="67"/>
    <s v="Loki"/>
    <s v="Dog"/>
    <s v="Poodle"/>
    <s v="09/25/2023"/>
    <x v="6"/>
    <s v="CHK03"/>
    <n v="896.42859999999996"/>
    <x v="2"/>
  </r>
  <r>
    <n v="463"/>
    <n v="63"/>
    <n v="115"/>
    <s v="Ace"/>
    <s v="Dog"/>
    <s v="Siberian Husky"/>
    <s v="08/08/2023"/>
    <x v="5"/>
    <s v="VAC01"/>
    <n v="199.376"/>
    <x v="1"/>
  </r>
  <r>
    <n v="464"/>
    <n v="86"/>
    <n v="24"/>
    <s v="Blue"/>
    <s v="Dog"/>
    <s v="Siberian Husky"/>
    <s v="02/08/2023"/>
    <x v="3"/>
    <s v="DEN02"/>
    <n v="538.90639999999996"/>
    <x v="1"/>
  </r>
  <r>
    <n v="465"/>
    <n v="199"/>
    <n v="35"/>
    <s v="Tank"/>
    <s v="Dog"/>
    <s v="Ragdoll"/>
    <s v="03/08/2023"/>
    <x v="5"/>
    <s v="VAC01"/>
    <n v="38.111499999999999"/>
    <x v="0"/>
  </r>
  <r>
    <n v="466"/>
    <n v="152"/>
    <n v="43"/>
    <s v="Shadow"/>
    <s v="Dog"/>
    <s v="Siberian Husky"/>
    <s v="04/14/2023"/>
    <x v="4"/>
    <s v="RAD08"/>
    <n v="199.2912"/>
    <x v="1"/>
  </r>
  <r>
    <n v="467"/>
    <n v="65"/>
    <n v="10"/>
    <s v="Blue"/>
    <s v="Cat"/>
    <s v="French Bulldog"/>
    <s v="08/11/2023"/>
    <x v="3"/>
    <s v="DEN02"/>
    <n v="233.59800000000001"/>
    <x v="1"/>
  </r>
  <r>
    <n v="468"/>
    <n v="23"/>
    <n v="13"/>
    <s v="Coco"/>
    <s v="Cat"/>
    <s v="Golden Retriever"/>
    <s v="06/23/2023"/>
    <x v="6"/>
    <s v="CHK03"/>
    <n v="-203.86930000000001"/>
    <x v="1"/>
  </r>
  <r>
    <n v="469"/>
    <n v="90"/>
    <n v="4"/>
    <s v="Max"/>
    <s v="Cat"/>
    <s v="Poodle"/>
    <s v="10/04/2023"/>
    <x v="4"/>
    <s v="RAD08"/>
    <n v="994.31970000000001"/>
    <x v="1"/>
  </r>
  <r>
    <n v="470"/>
    <n v="100"/>
    <n v="50"/>
    <s v="Stella"/>
    <s v="Cat"/>
    <s v="Labrador Retriever"/>
    <s v="04/02/2023"/>
    <x v="5"/>
    <s v="VAC01"/>
    <n v="183.8295"/>
    <x v="2"/>
  </r>
  <r>
    <n v="471"/>
    <n v="136"/>
    <n v="38"/>
    <s v="Shadow"/>
    <s v="Dog"/>
    <s v="Cocker Spaniel"/>
    <s v="03/18/2023"/>
    <x v="1"/>
    <s v="EM06"/>
    <n v="272.73950000000002"/>
    <x v="0"/>
  </r>
  <r>
    <n v="472"/>
    <n v="161"/>
    <n v="11"/>
    <s v="Murphy"/>
    <s v="Dog"/>
    <s v="French Bulldog"/>
    <s v="07/20/2023"/>
    <x v="1"/>
    <s v="EM06"/>
    <n v="679.79880000000003"/>
    <x v="2"/>
  </r>
  <r>
    <n v="473"/>
    <n v="21"/>
    <n v="20"/>
    <s v="Scout"/>
    <s v="Cat"/>
    <s v="Beagle"/>
    <s v="02/15/2023"/>
    <x v="3"/>
    <s v="DEN02"/>
    <n v="-90.849299999999999"/>
    <x v="1"/>
  </r>
  <r>
    <n v="474"/>
    <n v="108"/>
    <n v="90"/>
    <s v="Loki"/>
    <s v="Cat"/>
    <s v="Maine Coon"/>
    <s v="12/25/2023"/>
    <x v="5"/>
    <s v="VAC01"/>
    <n v="739.26850000000002"/>
    <x v="2"/>
  </r>
  <r>
    <n v="475"/>
    <n v="36"/>
    <n v="5"/>
    <s v="Zeus"/>
    <s v="Cat"/>
    <s v="Russian Blue"/>
    <s v="05/17/2023"/>
    <x v="2"/>
    <s v="BW07"/>
    <n v="932.18939999999998"/>
    <x v="2"/>
  </r>
  <r>
    <n v="476"/>
    <n v="104"/>
    <n v="32"/>
    <s v="Simba"/>
    <s v="Dog"/>
    <s v="Ragdoll"/>
    <s v="05/21/2023"/>
    <x v="2"/>
    <s v="BW07"/>
    <n v="-197.6069"/>
    <x v="1"/>
  </r>
  <r>
    <n v="477"/>
    <n v="165"/>
    <n v="35"/>
    <s v="Duke"/>
    <s v="Dog"/>
    <s v="Doberman Pinscher"/>
    <s v="04/29/2023"/>
    <x v="4"/>
    <s v="RAD08"/>
    <n v="867.15509999999995"/>
    <x v="1"/>
  </r>
  <r>
    <n v="478"/>
    <n v="143"/>
    <n v="102"/>
    <s v="Milo"/>
    <s v="Cat"/>
    <s v="Sphynx"/>
    <s v="08/22/2023"/>
    <x v="0"/>
    <s v="SUR04"/>
    <n v="413.34269999999998"/>
    <x v="1"/>
  </r>
  <r>
    <n v="479"/>
    <n v="117"/>
    <n v="123"/>
    <s v="Moose"/>
    <s v="Cat"/>
    <s v="Maine Coon"/>
    <s v="11/02/2023"/>
    <x v="2"/>
    <s v="BW07"/>
    <n v="-64.125900000000001"/>
    <x v="2"/>
  </r>
  <r>
    <n v="480"/>
    <n v="154"/>
    <n v="15"/>
    <s v="Atlas"/>
    <s v="Cat"/>
    <s v="Border Collie"/>
    <s v="06/15/2023"/>
    <x v="0"/>
    <s v="SUR04"/>
    <n v="637.53819999999996"/>
    <x v="0"/>
  </r>
  <r>
    <n v="481"/>
    <n v="183"/>
    <n v="80"/>
    <s v="Tucker"/>
    <s v="Dog"/>
    <s v="Golden Retriever"/>
    <s v="12/10/2023"/>
    <x v="7"/>
    <s v="NT05"/>
    <n v="96.795100000000005"/>
    <x v="1"/>
  </r>
  <r>
    <n v="482"/>
    <n v="88"/>
    <n v="65"/>
    <s v="Blue"/>
    <s v="Dog"/>
    <s v="Sphynx"/>
    <s v="04/18/2023"/>
    <x v="5"/>
    <s v="VAC01"/>
    <n v="809.76949999999999"/>
    <x v="2"/>
  </r>
  <r>
    <n v="483"/>
    <n v="62"/>
    <n v="112"/>
    <s v="Ace"/>
    <s v="Cat"/>
    <s v="Scottish Fold"/>
    <s v="11/04/2023"/>
    <x v="4"/>
    <s v="RAD08"/>
    <n v="694.23749999999995"/>
    <x v="2"/>
  </r>
  <r>
    <n v="484"/>
    <n v="190"/>
    <n v="75"/>
    <s v="Ruby"/>
    <s v="Cat"/>
    <s v="Dachshund"/>
    <s v="05/10/2023"/>
    <x v="1"/>
    <s v="EM06"/>
    <n v="564.91980000000001"/>
    <x v="1"/>
  </r>
  <r>
    <n v="485"/>
    <n v="63"/>
    <n v="11"/>
    <s v="Stella"/>
    <s v="Dog"/>
    <s v="Siberian Husky"/>
    <s v="12/23/2023"/>
    <x v="5"/>
    <s v="VAC01"/>
    <n v="-47.7149"/>
    <x v="1"/>
  </r>
  <r>
    <n v="486"/>
    <n v="119"/>
    <n v="106"/>
    <s v="Chloe"/>
    <s v="Cat"/>
    <s v="Siberian Husky"/>
    <s v="01/03/2023"/>
    <x v="4"/>
    <s v="RAD08"/>
    <n v="33.0214"/>
    <x v="2"/>
  </r>
  <r>
    <n v="487"/>
    <n v="191"/>
    <n v="73"/>
    <s v="Milo"/>
    <s v="Dog"/>
    <s v="Bulldog"/>
    <s v="06/07/2023"/>
    <x v="2"/>
    <s v="BW07"/>
    <n v="128.6146"/>
    <x v="1"/>
  </r>
  <r>
    <n v="488"/>
    <n v="11"/>
    <n v="133"/>
    <s v="Bentley"/>
    <s v="Dog"/>
    <s v="Russian Blue"/>
    <s v="07/24/2023"/>
    <x v="4"/>
    <s v="RAD08"/>
    <n v="700.40809999999999"/>
    <x v="0"/>
  </r>
  <r>
    <n v="489"/>
    <n v="25"/>
    <n v="80"/>
    <s v="Oreo"/>
    <s v="Dog"/>
    <s v="Beagle"/>
    <s v="01/12/2023"/>
    <x v="4"/>
    <s v="RAD08"/>
    <n v="19.865100000000002"/>
    <x v="2"/>
  </r>
  <r>
    <n v="490"/>
    <n v="198"/>
    <n v="122"/>
    <s v="Nala"/>
    <s v="Dog"/>
    <s v="Siberian Husky"/>
    <s v="12/05/2023"/>
    <x v="5"/>
    <s v="VAC01"/>
    <n v="566.40629999999999"/>
    <x v="1"/>
  </r>
  <r>
    <n v="491"/>
    <n v="61"/>
    <n v="13"/>
    <s v="Thor"/>
    <s v="Cat"/>
    <s v="French Bulldog"/>
    <s v="07/20/2023"/>
    <x v="5"/>
    <s v="VAC01"/>
    <n v="431.697"/>
    <x v="1"/>
  </r>
  <r>
    <n v="492"/>
    <n v="151"/>
    <n v="148"/>
    <s v="Bear"/>
    <s v="Cat"/>
    <s v="French Bulldog"/>
    <s v="01/02/2023"/>
    <x v="0"/>
    <s v="SUR04"/>
    <n v="7.1289999999999996"/>
    <x v="0"/>
  </r>
  <r>
    <n v="493"/>
    <n v="118"/>
    <n v="98"/>
    <s v="Chloe"/>
    <s v="Cat"/>
    <s v="German Shepherd"/>
    <s v="07/23/2023"/>
    <x v="0"/>
    <s v="SUR04"/>
    <n v="330.77780000000001"/>
    <x v="1"/>
  </r>
  <r>
    <n v="494"/>
    <n v="170"/>
    <n v="56"/>
    <s v="Nova"/>
    <s v="Cat"/>
    <s v="Cocker Spaniel"/>
    <s v="03/31/2023"/>
    <x v="7"/>
    <s v="NT05"/>
    <n v="144.93549999999999"/>
    <x v="2"/>
  </r>
  <r>
    <n v="495"/>
    <n v="96"/>
    <n v="56"/>
    <s v="Lucy"/>
    <s v="Cat"/>
    <s v="Boxer"/>
    <s v="03/02/2023"/>
    <x v="2"/>
    <s v="BW07"/>
    <n v="117.8871"/>
    <x v="2"/>
  </r>
  <r>
    <n v="496"/>
    <n v="26"/>
    <n v="124"/>
    <s v="Rosie"/>
    <s v="Cat"/>
    <s v="Russian Blue"/>
    <s v="07/04/2023"/>
    <x v="0"/>
    <s v="SUR04"/>
    <n v="109.3057"/>
    <x v="1"/>
  </r>
  <r>
    <n v="497"/>
    <n v="185"/>
    <n v="78"/>
    <s v="Winston"/>
    <s v="Cat"/>
    <s v="Maine Coon"/>
    <s v="03/01/2023"/>
    <x v="0"/>
    <s v="SUR04"/>
    <n v="890.50909999999999"/>
    <x v="1"/>
  </r>
  <r>
    <n v="498"/>
    <n v="134"/>
    <n v="142"/>
    <s v="Coco"/>
    <s v="Dog"/>
    <s v="Persian"/>
    <s v="06/08/2023"/>
    <x v="3"/>
    <s v="DEN02"/>
    <n v="-40.945700000000002"/>
    <x v="1"/>
  </r>
  <r>
    <n v="499"/>
    <n v="145"/>
    <n v="91"/>
    <s v="Blue"/>
    <s v="Dog"/>
    <s v="Russian Blue"/>
    <s v="09/13/2023"/>
    <x v="4"/>
    <s v="RAD08"/>
    <n v="504.67149999999998"/>
    <x v="2"/>
  </r>
  <r>
    <n v="500"/>
    <n v="168"/>
    <n v="72"/>
    <s v="Bentley"/>
    <s v="Cat"/>
    <s v="Border Collie"/>
    <s v="05/24/2023"/>
    <x v="7"/>
    <s v="NT05"/>
    <n v="513.7263000000000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47"/>
    <n v="116"/>
    <s v="Winston"/>
    <x v="0"/>
    <s v="Shih Tzu"/>
    <s v="03/28/2023"/>
    <s v="SUR04"/>
    <x v="0"/>
    <n v="939.00519999999995"/>
    <s v="Rockville"/>
    <s v="Needs TGH instructions"/>
  </r>
  <r>
    <n v="2"/>
    <n v="25"/>
    <n v="37"/>
    <s v="Ellie"/>
    <x v="0"/>
    <s v="German Shepherd"/>
    <s v="01/09/2023"/>
    <s v="EM06"/>
    <x v="1"/>
    <n v="725.98050000000001"/>
    <s v="Rockville"/>
    <s v="No instructions needed"/>
  </r>
  <r>
    <n v="3"/>
    <n v="22"/>
    <n v="35"/>
    <s v="Rocky"/>
    <x v="0"/>
    <s v="Beagle"/>
    <s v="11/14/2023"/>
    <s v="BW07"/>
    <x v="2"/>
    <n v="349.35950000000003"/>
    <s v="Frederick"/>
    <s v="No instructions needed"/>
  </r>
  <r>
    <n v="4"/>
    <n v="63"/>
    <n v="66"/>
    <s v="Ellie"/>
    <x v="1"/>
    <s v="Yorkshire Terrier"/>
    <s v="01/02/2023"/>
    <s v="EM06"/>
    <x v="1"/>
    <n v="78.241799999999998"/>
    <s v="Frederick"/>
    <s v="No instructions needed"/>
  </r>
  <r>
    <n v="5"/>
    <n v="18"/>
    <n v="101"/>
    <s v="Riley"/>
    <x v="0"/>
    <s v="Border Collie"/>
    <s v="11/05/2023"/>
    <s v="DEN02"/>
    <x v="3"/>
    <n v="480.2783"/>
    <s v="Frederick"/>
    <s v="No instructions needed"/>
  </r>
  <r>
    <n v="6"/>
    <n v="71"/>
    <n v="131"/>
    <s v="Shadow"/>
    <x v="1"/>
    <s v="Chihuahua"/>
    <s v="10/19/2023"/>
    <s v="RAD08"/>
    <x v="4"/>
    <n v="937.5625"/>
    <s v="Rockville"/>
    <s v="No instructions needed"/>
  </r>
  <r>
    <n v="7"/>
    <n v="92"/>
    <n v="75"/>
    <s v="Rosie"/>
    <x v="0"/>
    <s v="Poodle"/>
    <s v="01/29/2023"/>
    <s v="VAC01"/>
    <x v="5"/>
    <n v="650.0059"/>
    <s v="Frederick"/>
    <s v="No instructions needed"/>
  </r>
  <r>
    <n v="8"/>
    <n v="12"/>
    <n v="2"/>
    <s v="Nova"/>
    <x v="0"/>
    <s v="Labrador Retriever"/>
    <s v="04/07/2023"/>
    <s v="CHK03"/>
    <x v="6"/>
    <n v="-244.71960000000001"/>
    <s v="Frederick"/>
    <s v="No instructions needed"/>
  </r>
  <r>
    <n v="9"/>
    <n v="192"/>
    <n v="107"/>
    <s v="Loki"/>
    <x v="0"/>
    <s v="Ragdoll"/>
    <s v="11/20/2023"/>
    <s v="DEN02"/>
    <x v="3"/>
    <n v="249.92140000000001"/>
    <s v="Rockville"/>
    <s v="No instructions needed"/>
  </r>
  <r>
    <n v="10"/>
    <n v="92"/>
    <n v="20"/>
    <s v="Winston"/>
    <x v="0"/>
    <s v="Border Collie"/>
    <s v="05/28/2023"/>
    <s v="NT05"/>
    <x v="7"/>
    <n v="866.72609999999997"/>
    <s v="Frederick"/>
    <s v="No instructions needed"/>
  </r>
  <r>
    <n v="11"/>
    <n v="124"/>
    <n v="72"/>
    <s v="Max"/>
    <x v="0"/>
    <s v="Scottish Fold"/>
    <s v="06/01/2023"/>
    <s v="CHK03"/>
    <x v="6"/>
    <n v="738.04129999999998"/>
    <s v="Frederick"/>
    <s v="No instructions needed"/>
  </r>
  <r>
    <n v="12"/>
    <n v="17"/>
    <n v="117"/>
    <s v="Oliver"/>
    <x v="0"/>
    <s v="Shih Tzu"/>
    <s v="08/08/2023"/>
    <s v="CHK03"/>
    <x v="6"/>
    <n v="66.0608"/>
    <s v="Baltimore"/>
    <s v="No instructions needed"/>
  </r>
  <r>
    <n v="13"/>
    <n v="73"/>
    <n v="23"/>
    <s v="Bentley"/>
    <x v="0"/>
    <s v="British Shorthair"/>
    <s v="03/19/2023"/>
    <s v="RAD08"/>
    <x v="4"/>
    <n v="228.29949999999999"/>
    <s v="Baltimore"/>
    <s v="No instructions needed"/>
  </r>
  <r>
    <n v="14"/>
    <n v="14"/>
    <n v="2"/>
    <s v="Rocky"/>
    <x v="0"/>
    <s v="Cocker Spaniel"/>
    <s v="04/02/2023"/>
    <s v="VAC01"/>
    <x v="5"/>
    <n v="500.18799999999999"/>
    <s v="Frederick"/>
    <s v="No instructions needed"/>
  </r>
  <r>
    <n v="15"/>
    <n v="171"/>
    <n v="20"/>
    <s v="Coco"/>
    <x v="0"/>
    <s v="Great Dane"/>
    <s v="03/02/2023"/>
    <s v="SUR04"/>
    <x v="0"/>
    <n v="-290.9812"/>
    <s v="Baltimore"/>
    <s v="Needs TGH instructions"/>
  </r>
  <r>
    <n v="16"/>
    <n v="59"/>
    <n v="80"/>
    <s v="Charlie"/>
    <x v="0"/>
    <s v="Poodle"/>
    <s v="10/29/2023"/>
    <s v="RAD08"/>
    <x v="4"/>
    <n v="588.9633"/>
    <s v="Rockville"/>
    <s v="No instructions needed"/>
  </r>
  <r>
    <n v="17"/>
    <n v="181"/>
    <n v="139"/>
    <s v="Max"/>
    <x v="1"/>
    <s v="Shih Tzu"/>
    <s v="03/11/2023"/>
    <s v="EM06"/>
    <x v="1"/>
    <n v="364.0403"/>
    <s v="Frederick"/>
    <s v="No instructions needed"/>
  </r>
  <r>
    <n v="18"/>
    <n v="157"/>
    <n v="70"/>
    <s v="Oreo"/>
    <x v="1"/>
    <s v="Rottweiler"/>
    <s v="05/31/2023"/>
    <s v="BW07"/>
    <x v="2"/>
    <n v="387.50560000000002"/>
    <s v="Rockville"/>
    <s v="No instructions needed"/>
  </r>
  <r>
    <n v="19"/>
    <n v="8"/>
    <n v="95"/>
    <s v="Blue"/>
    <x v="1"/>
    <s v="Doberman Pinscher"/>
    <s v="05/27/2023"/>
    <s v="EM06"/>
    <x v="1"/>
    <n v="879.72659999999996"/>
    <s v="Frederick"/>
    <s v="No instructions needed"/>
  </r>
  <r>
    <n v="20"/>
    <n v="173"/>
    <n v="25"/>
    <s v="Rocky"/>
    <x v="1"/>
    <s v="Siamese"/>
    <s v="02/27/2023"/>
    <s v="NT05"/>
    <x v="7"/>
    <n v="246.51490000000001"/>
    <s v="Frederick"/>
    <s v="No instructions needed"/>
  </r>
  <r>
    <n v="21"/>
    <n v="200"/>
    <n v="127"/>
    <s v="Finn"/>
    <x v="0"/>
    <s v="Yorkshire Terrier"/>
    <s v="07/05/2023"/>
    <s v="SUR04"/>
    <x v="0"/>
    <n v="999.62339999999995"/>
    <s v="Baltimore"/>
    <s v="Needs TGH instructions"/>
  </r>
  <r>
    <n v="22"/>
    <n v="3"/>
    <n v="33"/>
    <s v="Moose"/>
    <x v="1"/>
    <s v="Poodle"/>
    <s v="10/15/2023"/>
    <s v="DEN02"/>
    <x v="3"/>
    <n v="-206.3467"/>
    <s v="Rockville"/>
    <s v="No instructions needed"/>
  </r>
  <r>
    <n v="23"/>
    <n v="59"/>
    <n v="119"/>
    <s v="Atlas"/>
    <x v="0"/>
    <s v="Boxer"/>
    <s v="12/03/2023"/>
    <s v="VAC01"/>
    <x v="5"/>
    <n v="248.83539999999999"/>
    <s v="Rockville"/>
    <s v="No instructions needed"/>
  </r>
  <r>
    <n v="24"/>
    <n v="92"/>
    <n v="138"/>
    <s v="Duke"/>
    <x v="1"/>
    <s v="Abyssinian"/>
    <s v="10/23/2023"/>
    <s v="RAD08"/>
    <x v="4"/>
    <n v="-288.69110000000001"/>
    <s v="Rockville"/>
    <s v="No instructions needed"/>
  </r>
  <r>
    <n v="25"/>
    <n v="35"/>
    <n v="114"/>
    <s v="Remy"/>
    <x v="1"/>
    <s v="Abyssinian"/>
    <s v="07/17/2023"/>
    <s v="SUR04"/>
    <x v="0"/>
    <n v="-63.622900000000001"/>
    <s v="Frederick"/>
    <s v="Needs TGH instructions"/>
  </r>
  <r>
    <n v="26"/>
    <n v="21"/>
    <n v="122"/>
    <s v="Lucy"/>
    <x v="1"/>
    <s v="Boston Terrier"/>
    <s v="02/11/2023"/>
    <s v="EM06"/>
    <x v="1"/>
    <n v="733.42840000000001"/>
    <s v="Frederick"/>
    <s v="No instructions needed"/>
  </r>
  <r>
    <n v="27"/>
    <n v="84"/>
    <n v="34"/>
    <s v="Finn"/>
    <x v="0"/>
    <s v="Persian"/>
    <s v="09/25/2023"/>
    <s v="NT05"/>
    <x v="7"/>
    <n v="652.8297"/>
    <s v="Baltimore"/>
    <s v="No instructions needed"/>
  </r>
  <r>
    <n v="28"/>
    <n v="47"/>
    <n v="57"/>
    <s v="Bentley"/>
    <x v="0"/>
    <s v="Border Collie"/>
    <s v="04/11/2023"/>
    <s v="BW07"/>
    <x v="2"/>
    <n v="514.86339999999996"/>
    <s v="Rockville"/>
    <s v="No instructions needed"/>
  </r>
  <r>
    <n v="29"/>
    <n v="18"/>
    <n v="104"/>
    <s v="Winston"/>
    <x v="0"/>
    <s v="Sphynx"/>
    <s v="11/13/2023"/>
    <s v="CHK03"/>
    <x v="6"/>
    <n v="6.1393000000000004"/>
    <s v="Rockville"/>
    <s v="No instructions needed"/>
  </r>
  <r>
    <n v="30"/>
    <n v="54"/>
    <n v="79"/>
    <s v="Tucker"/>
    <x v="0"/>
    <s v="Chihuahua"/>
    <s v="05/26/2023"/>
    <s v="CHK03"/>
    <x v="6"/>
    <n v="112.3904"/>
    <s v="Baltimore"/>
    <s v="No instructions needed"/>
  </r>
  <r>
    <n v="31"/>
    <n v="46"/>
    <n v="147"/>
    <s v="Moose"/>
    <x v="0"/>
    <s v="Bulldog"/>
    <s v="01/01/2023"/>
    <s v="VAC01"/>
    <x v="5"/>
    <n v="777.28390000000002"/>
    <s v="Frederick"/>
    <s v="No instructions needed"/>
  </r>
  <r>
    <n v="32"/>
    <n v="137"/>
    <n v="134"/>
    <s v="Scout"/>
    <x v="0"/>
    <s v="Beagle"/>
    <s v="04/26/2023"/>
    <s v="VAC01"/>
    <x v="5"/>
    <n v="-96.376199999999997"/>
    <s v="Frederick"/>
    <s v="No instructions needed"/>
  </r>
  <r>
    <n v="33"/>
    <n v="146"/>
    <n v="18"/>
    <s v="Thor"/>
    <x v="0"/>
    <s v="Maine Coon"/>
    <s v="11/15/2023"/>
    <s v="EM06"/>
    <x v="1"/>
    <n v="-80.761499999999998"/>
    <s v="Frederick"/>
    <s v="No instructions needed"/>
  </r>
  <r>
    <n v="34"/>
    <n v="38"/>
    <n v="115"/>
    <s v="Max"/>
    <x v="0"/>
    <s v="Bengal"/>
    <s v="07/29/2023"/>
    <s v="EM06"/>
    <x v="1"/>
    <n v="-113.2574"/>
    <s v="Frederick"/>
    <s v="No instructions needed"/>
  </r>
  <r>
    <n v="35"/>
    <n v="111"/>
    <n v="119"/>
    <s v="Cooper"/>
    <x v="1"/>
    <s v="Great Dane"/>
    <s v="03/25/2023"/>
    <s v="SUR04"/>
    <x v="0"/>
    <n v="467.91059999999999"/>
    <s v="Frederick"/>
    <s v="Needs TGH instructions"/>
  </r>
  <r>
    <n v="36"/>
    <n v="173"/>
    <n v="136"/>
    <s v="Charlie"/>
    <x v="1"/>
    <s v="Sphynx"/>
    <s v="10/02/2023"/>
    <s v="SUR04"/>
    <x v="0"/>
    <n v="351.74669999999998"/>
    <s v="Rockville"/>
    <s v="Needs TGH instructions"/>
  </r>
  <r>
    <n v="37"/>
    <n v="159"/>
    <n v="147"/>
    <s v="Oreo"/>
    <x v="1"/>
    <s v="Shih Tzu"/>
    <s v="11/06/2023"/>
    <s v="EM06"/>
    <x v="1"/>
    <n v="-250.7664"/>
    <s v="Frederick"/>
    <s v="No instructions needed"/>
  </r>
  <r>
    <n v="38"/>
    <n v="193"/>
    <n v="58"/>
    <s v="Oreo"/>
    <x v="0"/>
    <s v="Cocker Spaniel"/>
    <s v="09/18/2023"/>
    <s v="EM06"/>
    <x v="1"/>
    <n v="-29.6434"/>
    <s v="Baltimore"/>
    <s v="No instructions needed"/>
  </r>
  <r>
    <n v="39"/>
    <n v="142"/>
    <n v="82"/>
    <s v="Rocky"/>
    <x v="0"/>
    <s v="Rottweiler"/>
    <s v="03/21/2023"/>
    <s v="NT05"/>
    <x v="7"/>
    <n v="249.845"/>
    <s v="Rockville"/>
    <s v="No instructions needed"/>
  </r>
  <r>
    <n v="40"/>
    <n v="50"/>
    <n v="108"/>
    <s v="Stella"/>
    <x v="0"/>
    <s v="Boxer"/>
    <s v="09/06/2023"/>
    <s v="RAD08"/>
    <x v="4"/>
    <n v="923.01400000000001"/>
    <s v="Frederick"/>
    <s v="No instructions needed"/>
  </r>
  <r>
    <n v="41"/>
    <n v="32"/>
    <n v="142"/>
    <s v="Jax"/>
    <x v="0"/>
    <s v="German Shepherd"/>
    <s v="12/26/2023"/>
    <s v="CHK03"/>
    <x v="6"/>
    <n v="453.3372"/>
    <s v="Baltimore"/>
    <s v="No instructions needed"/>
  </r>
  <r>
    <n v="42"/>
    <n v="36"/>
    <n v="71"/>
    <s v="Bailey"/>
    <x v="1"/>
    <s v="Abyssinian"/>
    <s v="10/19/2023"/>
    <s v="VAC01"/>
    <x v="5"/>
    <n v="338.14049999999997"/>
    <s v="Rockville"/>
    <s v="No instructions needed"/>
  </r>
  <r>
    <n v="43"/>
    <n v="7"/>
    <n v="91"/>
    <s v="Cooper"/>
    <x v="0"/>
    <s v="Dachshund"/>
    <s v="03/12/2023"/>
    <s v="EM06"/>
    <x v="1"/>
    <n v="177.42599999999999"/>
    <s v="Rockville"/>
    <s v="No instructions needed"/>
  </r>
  <r>
    <n v="44"/>
    <n v="93"/>
    <n v="21"/>
    <s v="Charlie"/>
    <x v="1"/>
    <s v="Abyssinian"/>
    <s v="06/04/2023"/>
    <s v="DEN02"/>
    <x v="3"/>
    <n v="-244.16659999999999"/>
    <s v="Baltimore"/>
    <s v="No instructions needed"/>
  </r>
  <r>
    <n v="45"/>
    <n v="20"/>
    <n v="145"/>
    <s v="Oliver"/>
    <x v="1"/>
    <s v="Boxer"/>
    <s v="01/16/2023"/>
    <s v="CHK03"/>
    <x v="6"/>
    <n v="-258.68130000000002"/>
    <s v="Frederick"/>
    <s v="No instructions needed"/>
  </r>
  <r>
    <n v="46"/>
    <n v="7"/>
    <n v="27"/>
    <s v="Bentley"/>
    <x v="0"/>
    <s v="French Bulldog"/>
    <s v="01/19/2023"/>
    <s v="CHK03"/>
    <x v="6"/>
    <n v="-16.712499999999999"/>
    <s v="Frederick"/>
    <s v="No instructions needed"/>
  </r>
  <r>
    <n v="47"/>
    <n v="75"/>
    <n v="86"/>
    <s v="Bentley"/>
    <x v="1"/>
    <s v="Scottish Fold"/>
    <s v="04/14/2023"/>
    <s v="VAC01"/>
    <x v="5"/>
    <n v="550.25019999999995"/>
    <s v="Frederick"/>
    <s v="No instructions needed"/>
  </r>
  <r>
    <n v="48"/>
    <n v="23"/>
    <n v="117"/>
    <s v="Cooper"/>
    <x v="1"/>
    <s v="Poodle"/>
    <s v="08/31/2023"/>
    <s v="CHK03"/>
    <x v="6"/>
    <n v="-256.26909999999998"/>
    <s v="Baltimore"/>
    <s v="No instructions needed"/>
  </r>
  <r>
    <n v="49"/>
    <n v="127"/>
    <n v="61"/>
    <s v="Nala"/>
    <x v="1"/>
    <s v="Dachshund"/>
    <s v="03/10/2023"/>
    <s v="NT05"/>
    <x v="7"/>
    <n v="785.48889999999994"/>
    <s v="Frederick"/>
    <s v="No instructions needed"/>
  </r>
  <r>
    <n v="50"/>
    <n v="128"/>
    <n v="29"/>
    <s v="Finn"/>
    <x v="1"/>
    <s v="Beagle"/>
    <s v="10/14/2023"/>
    <s v="VAC01"/>
    <x v="5"/>
    <n v="-125.916"/>
    <s v="Baltimore"/>
    <s v="No instructions needed"/>
  </r>
  <r>
    <n v="51"/>
    <n v="143"/>
    <n v="77"/>
    <s v="Daisy"/>
    <x v="1"/>
    <s v="Sphynx"/>
    <s v="08/05/2023"/>
    <s v="CHK03"/>
    <x v="6"/>
    <n v="135.88939999999999"/>
    <s v="Frederick"/>
    <s v="No instructions needed"/>
  </r>
  <r>
    <n v="52"/>
    <n v="192"/>
    <n v="49"/>
    <s v="Cooper"/>
    <x v="1"/>
    <s v="Ragdoll"/>
    <s v="06/12/2023"/>
    <s v="NT05"/>
    <x v="7"/>
    <n v="-219.43379999999999"/>
    <s v="Frederick"/>
    <s v="No instructions needed"/>
  </r>
  <r>
    <n v="53"/>
    <n v="75"/>
    <n v="14"/>
    <s v="Cooper"/>
    <x v="1"/>
    <s v="Golden Retriever"/>
    <s v="08/01/2023"/>
    <s v="NT05"/>
    <x v="7"/>
    <n v="643.41369999999995"/>
    <s v="Frederick"/>
    <s v="No instructions needed"/>
  </r>
  <r>
    <n v="54"/>
    <n v="191"/>
    <n v="33"/>
    <s v="Winston"/>
    <x v="1"/>
    <s v="Dachshund"/>
    <s v="06/04/2023"/>
    <s v="EM06"/>
    <x v="1"/>
    <n v="529.73260000000005"/>
    <s v="Frederick"/>
    <s v="No instructions needed"/>
  </r>
  <r>
    <n v="55"/>
    <n v="200"/>
    <n v="65"/>
    <s v="Zoey"/>
    <x v="1"/>
    <s v="Ragdoll"/>
    <s v="12/14/2023"/>
    <s v="EM06"/>
    <x v="1"/>
    <n v="-199.5264"/>
    <s v="Frederick"/>
    <s v="No instructions needed"/>
  </r>
  <r>
    <n v="56"/>
    <n v="152"/>
    <n v="42"/>
    <s v="Milo"/>
    <x v="1"/>
    <s v="Abyssinian"/>
    <s v="09/21/2023"/>
    <s v="VAC01"/>
    <x v="5"/>
    <n v="-256.82279999999997"/>
    <s v="Frederick"/>
    <s v="No instructions needed"/>
  </r>
  <r>
    <n v="57"/>
    <n v="41"/>
    <n v="53"/>
    <s v="Duke"/>
    <x v="0"/>
    <s v="Siberian Husky"/>
    <s v="03/23/2023"/>
    <s v="EM06"/>
    <x v="1"/>
    <n v="742.71910000000003"/>
    <s v="Rockville"/>
    <s v="No instructions needed"/>
  </r>
  <r>
    <n v="58"/>
    <n v="118"/>
    <n v="79"/>
    <s v="Oreo"/>
    <x v="0"/>
    <s v="Boston Terrier"/>
    <s v="04/18/2023"/>
    <s v="SUR04"/>
    <x v="0"/>
    <n v="-25.616199999999999"/>
    <s v="Frederick"/>
    <s v="Needs TGH instructions"/>
  </r>
  <r>
    <n v="59"/>
    <n v="99"/>
    <n v="134"/>
    <s v="Pepper"/>
    <x v="0"/>
    <s v="Shih Tzu"/>
    <s v="05/22/2023"/>
    <s v="RAD08"/>
    <x v="4"/>
    <n v="785.63409999999999"/>
    <s v="Rockville"/>
    <s v="No instructions needed"/>
  </r>
  <r>
    <n v="60"/>
    <n v="38"/>
    <n v="10"/>
    <s v="Rocky"/>
    <x v="1"/>
    <s v="Border Collie"/>
    <s v="07/23/2023"/>
    <s v="NT05"/>
    <x v="7"/>
    <n v="773.23950000000002"/>
    <s v="Frederick"/>
    <s v="No instructions needed"/>
  </r>
  <r>
    <n v="61"/>
    <n v="38"/>
    <n v="34"/>
    <s v="Charlie"/>
    <x v="1"/>
    <s v="German Shepherd"/>
    <s v="09/17/2023"/>
    <s v="VAC01"/>
    <x v="5"/>
    <n v="-20.602699999999999"/>
    <s v="Baltimore"/>
    <s v="No instructions needed"/>
  </r>
  <r>
    <n v="62"/>
    <n v="83"/>
    <n v="132"/>
    <s v="Luna"/>
    <x v="0"/>
    <s v="Boxer"/>
    <s v="04/08/2023"/>
    <s v="EM06"/>
    <x v="1"/>
    <n v="446.61790000000002"/>
    <s v="Frederick"/>
    <s v="No instructions needed"/>
  </r>
  <r>
    <n v="63"/>
    <n v="89"/>
    <n v="107"/>
    <s v="Thor"/>
    <x v="1"/>
    <s v="Sphynx"/>
    <s v="09/25/2023"/>
    <s v="DEN02"/>
    <x v="3"/>
    <n v="915.48050000000001"/>
    <s v="Rockville"/>
    <s v="No instructions needed"/>
  </r>
  <r>
    <n v="64"/>
    <n v="151"/>
    <n v="98"/>
    <s v="Ellie"/>
    <x v="0"/>
    <s v="Russian Blue"/>
    <s v="01/26/2023"/>
    <s v="RAD08"/>
    <x v="4"/>
    <n v="-287.96890000000002"/>
    <s v="Rockville"/>
    <s v="No instructions needed"/>
  </r>
  <r>
    <n v="65"/>
    <n v="164"/>
    <n v="77"/>
    <s v="Bella"/>
    <x v="1"/>
    <s v="Abyssinian"/>
    <s v="01/22/2023"/>
    <s v="BW07"/>
    <x v="2"/>
    <n v="353.38470000000001"/>
    <s v="Baltimore"/>
    <s v="No instructions needed"/>
  </r>
  <r>
    <n v="66"/>
    <n v="124"/>
    <n v="100"/>
    <s v="Nala"/>
    <x v="1"/>
    <s v="Boxer"/>
    <s v="07/07/2023"/>
    <s v="NT05"/>
    <x v="7"/>
    <n v="45.528799999999997"/>
    <s v="Frederick"/>
    <s v="No instructions needed"/>
  </r>
  <r>
    <n v="67"/>
    <n v="186"/>
    <n v="63"/>
    <s v="Ellie"/>
    <x v="1"/>
    <s v="British Shorthair"/>
    <s v="07/27/2023"/>
    <s v="SUR04"/>
    <x v="0"/>
    <n v="573.40300000000002"/>
    <s v="Frederick"/>
    <s v="Needs TGH instructions"/>
  </r>
  <r>
    <n v="68"/>
    <n v="115"/>
    <n v="126"/>
    <s v="Luna"/>
    <x v="0"/>
    <s v="Siberian Husky"/>
    <s v="07/06/2023"/>
    <s v="DEN02"/>
    <x v="3"/>
    <n v="-237.63839999999999"/>
    <s v="Baltimore"/>
    <s v="No instructions needed"/>
  </r>
  <r>
    <n v="69"/>
    <n v="152"/>
    <n v="68"/>
    <s v="Nala"/>
    <x v="1"/>
    <s v="Boxer"/>
    <s v="01/28/2023"/>
    <s v="VAC01"/>
    <x v="5"/>
    <n v="-217.32579999999999"/>
    <s v="Rockville"/>
    <s v="No instructions needed"/>
  </r>
  <r>
    <n v="70"/>
    <n v="109"/>
    <n v="40"/>
    <s v="Moose"/>
    <x v="1"/>
    <s v="Cocker Spaniel"/>
    <s v="04/25/2023"/>
    <s v="CHK03"/>
    <x v="6"/>
    <n v="165.2636"/>
    <s v="Frederick"/>
    <s v="No instructions needed"/>
  </r>
  <r>
    <n v="71"/>
    <n v="80"/>
    <n v="28"/>
    <s v="Stella"/>
    <x v="1"/>
    <s v="Dachshund"/>
    <s v="03/04/2023"/>
    <s v="RAD08"/>
    <x v="4"/>
    <n v="-160.13210000000001"/>
    <s v="Frederick"/>
    <s v="No instructions needed"/>
  </r>
  <r>
    <n v="72"/>
    <n v="65"/>
    <n v="5"/>
    <s v="Tucker"/>
    <x v="1"/>
    <s v="Yorkshire Terrier"/>
    <s v="09/11/2023"/>
    <s v="VAC01"/>
    <x v="5"/>
    <n v="-17.937899999999999"/>
    <s v="Rockville"/>
    <s v="No instructions needed"/>
  </r>
  <r>
    <n v="73"/>
    <n v="42"/>
    <n v="68"/>
    <s v="Cooper"/>
    <x v="1"/>
    <s v="Ragdoll"/>
    <s v="01/29/2023"/>
    <s v="DEN02"/>
    <x v="3"/>
    <n v="317.16789999999997"/>
    <s v="Baltimore"/>
    <s v="No instructions needed"/>
  </r>
  <r>
    <n v="74"/>
    <n v="172"/>
    <n v="39"/>
    <s v="Shadow"/>
    <x v="1"/>
    <s v="Australian Shepherd"/>
    <s v="05/07/2023"/>
    <s v="BW07"/>
    <x v="2"/>
    <n v="521.37620000000004"/>
    <s v="Baltimore"/>
    <s v="No instructions needed"/>
  </r>
  <r>
    <n v="75"/>
    <n v="189"/>
    <n v="35"/>
    <s v="Blue"/>
    <x v="1"/>
    <s v="German Shepherd"/>
    <s v="05/14/2023"/>
    <s v="SUR04"/>
    <x v="0"/>
    <n v="-208.702"/>
    <s v="Baltimore"/>
    <s v="Needs TGH instructions"/>
  </r>
  <r>
    <n v="76"/>
    <n v="37"/>
    <n v="114"/>
    <s v="Atlas"/>
    <x v="1"/>
    <s v="Labrador Retriever"/>
    <s v="03/30/2023"/>
    <s v="SUR04"/>
    <x v="0"/>
    <n v="506.1814"/>
    <s v="Rockville"/>
    <s v="Needs TGH instructions"/>
  </r>
  <r>
    <n v="77"/>
    <n v="167"/>
    <n v="2"/>
    <s v="Bailey"/>
    <x v="1"/>
    <s v="British Shorthair"/>
    <s v="02/10/2023"/>
    <s v="NT05"/>
    <x v="7"/>
    <n v="686.68769999999995"/>
    <s v="Baltimore"/>
    <s v="No instructions needed"/>
  </r>
  <r>
    <n v="78"/>
    <n v="142"/>
    <n v="62"/>
    <s v="Marley"/>
    <x v="1"/>
    <s v="Abyssinian"/>
    <s v="01/14/2023"/>
    <s v="RAD08"/>
    <x v="4"/>
    <n v="270.72250000000003"/>
    <s v="Frederick"/>
    <s v="No instructions needed"/>
  </r>
  <r>
    <n v="79"/>
    <n v="122"/>
    <n v="73"/>
    <s v="Luna"/>
    <x v="1"/>
    <s v="Cocker Spaniel"/>
    <s v="07/25/2023"/>
    <s v="EM06"/>
    <x v="1"/>
    <n v="419.98489999999998"/>
    <s v="Frederick"/>
    <s v="No instructions needed"/>
  </r>
  <r>
    <n v="80"/>
    <n v="115"/>
    <n v="16"/>
    <s v="Ace"/>
    <x v="1"/>
    <s v="Bengal"/>
    <s v="03/03/2023"/>
    <s v="NT05"/>
    <x v="7"/>
    <n v="-34.894399999999997"/>
    <s v="Baltimore"/>
    <s v="No instructions needed"/>
  </r>
  <r>
    <n v="81"/>
    <n v="153"/>
    <n v="78"/>
    <s v="Lucy"/>
    <x v="1"/>
    <s v="Boxer"/>
    <s v="05/07/2023"/>
    <s v="CHK03"/>
    <x v="6"/>
    <n v="55.672800000000002"/>
    <s v="Rockville"/>
    <s v="No instructions needed"/>
  </r>
  <r>
    <n v="82"/>
    <n v="142"/>
    <n v="147"/>
    <s v="Winston"/>
    <x v="1"/>
    <s v="Rottweiler"/>
    <s v="06/21/2023"/>
    <s v="RAD08"/>
    <x v="4"/>
    <n v="567.61080000000004"/>
    <s v="Frederick"/>
    <s v="No instructions needed"/>
  </r>
  <r>
    <n v="83"/>
    <n v="15"/>
    <n v="44"/>
    <s v="Pepper"/>
    <x v="0"/>
    <s v="Border Collie"/>
    <s v="07/28/2023"/>
    <s v="VAC01"/>
    <x v="5"/>
    <n v="728.22280000000001"/>
    <s v="Baltimore"/>
    <s v="No instructions needed"/>
  </r>
  <r>
    <n v="84"/>
    <n v="117"/>
    <n v="137"/>
    <s v="Sadie"/>
    <x v="0"/>
    <s v="Australian Shepherd"/>
    <s v="02/14/2023"/>
    <s v="VAC01"/>
    <x v="5"/>
    <n v="220.16040000000001"/>
    <s v="Rockville"/>
    <s v="No instructions needed"/>
  </r>
  <r>
    <n v="85"/>
    <n v="52"/>
    <n v="71"/>
    <s v="Zeus"/>
    <x v="1"/>
    <s v="Shih Tzu"/>
    <s v="11/10/2023"/>
    <s v="RAD08"/>
    <x v="4"/>
    <n v="403.38010000000003"/>
    <s v="Baltimore"/>
    <s v="No instructions needed"/>
  </r>
  <r>
    <n v="86"/>
    <n v="185"/>
    <n v="66"/>
    <s v="Rocky"/>
    <x v="0"/>
    <s v="Abyssinian"/>
    <s v="07/27/2023"/>
    <s v="RAD08"/>
    <x v="4"/>
    <n v="94.097099999999998"/>
    <s v="Frederick"/>
    <s v="No instructions needed"/>
  </r>
  <r>
    <n v="87"/>
    <n v="13"/>
    <n v="39"/>
    <s v="Stella"/>
    <x v="0"/>
    <s v="Bengal"/>
    <s v="12/06/2023"/>
    <s v="BW07"/>
    <x v="2"/>
    <n v="742.71019999999999"/>
    <s v="Frederick"/>
    <s v="No instructions needed"/>
  </r>
  <r>
    <n v="88"/>
    <n v="150"/>
    <n v="98"/>
    <s v="Riley"/>
    <x v="0"/>
    <s v="Abyssinian"/>
    <s v="10/14/2023"/>
    <s v="BW07"/>
    <x v="2"/>
    <n v="31.267600000000002"/>
    <s v="Rockville"/>
    <s v="No instructions needed"/>
  </r>
  <r>
    <n v="89"/>
    <n v="96"/>
    <n v="67"/>
    <s v="Oliver"/>
    <x v="0"/>
    <s v="Chihuahua"/>
    <s v="09/18/2023"/>
    <s v="SUR04"/>
    <x v="0"/>
    <n v="-170.65270000000001"/>
    <s v="Frederick"/>
    <s v="Needs TGH instructions"/>
  </r>
  <r>
    <n v="90"/>
    <n v="65"/>
    <n v="57"/>
    <s v="Murphy"/>
    <x v="0"/>
    <s v="Chihuahua"/>
    <s v="09/20/2023"/>
    <s v="SUR04"/>
    <x v="0"/>
    <n v="867.29380000000003"/>
    <s v="Frederick"/>
    <s v="Needs TGH instructions"/>
  </r>
  <r>
    <n v="91"/>
    <n v="142"/>
    <n v="70"/>
    <s v="Jax"/>
    <x v="1"/>
    <s v="Cocker Spaniel"/>
    <s v="06/24/2023"/>
    <s v="RAD08"/>
    <x v="4"/>
    <n v="756.24950000000001"/>
    <s v="Rockville"/>
    <s v="No instructions needed"/>
  </r>
  <r>
    <n v="92"/>
    <n v="62"/>
    <n v="76"/>
    <s v="Chloe"/>
    <x v="0"/>
    <s v="Poodle"/>
    <s v="02/08/2023"/>
    <s v="CHK03"/>
    <x v="6"/>
    <n v="686.51580000000001"/>
    <s v="Rockville"/>
    <s v="No instructions needed"/>
  </r>
  <r>
    <n v="93"/>
    <n v="144"/>
    <n v="73"/>
    <s v="Oliver"/>
    <x v="0"/>
    <s v="German Shepherd"/>
    <s v="12/24/2023"/>
    <s v="RAD08"/>
    <x v="4"/>
    <n v="667.69730000000004"/>
    <s v="Rockville"/>
    <s v="No instructions needed"/>
  </r>
  <r>
    <n v="94"/>
    <n v="150"/>
    <n v="104"/>
    <s v="Charlie"/>
    <x v="1"/>
    <s v="Siberian Husky"/>
    <s v="12/26/2023"/>
    <s v="VAC01"/>
    <x v="5"/>
    <n v="19.926500000000001"/>
    <s v="Frederick"/>
    <s v="No instructions needed"/>
  </r>
  <r>
    <n v="95"/>
    <n v="62"/>
    <n v="37"/>
    <s v="Koda"/>
    <x v="0"/>
    <s v="Beagle"/>
    <s v="08/29/2023"/>
    <s v="BW07"/>
    <x v="2"/>
    <n v="-56.112699999999997"/>
    <s v="Rockville"/>
    <s v="No instructions needed"/>
  </r>
  <r>
    <n v="96"/>
    <n v="14"/>
    <n v="76"/>
    <s v="Nova"/>
    <x v="1"/>
    <s v="Scottish Fold"/>
    <s v="06/04/2023"/>
    <s v="BW07"/>
    <x v="2"/>
    <n v="299.9418"/>
    <s v="Rockville"/>
    <s v="No instructions needed"/>
  </r>
  <r>
    <n v="97"/>
    <n v="200"/>
    <n v="47"/>
    <s v="Remy"/>
    <x v="1"/>
    <s v="French Bulldog"/>
    <s v="06/12/2023"/>
    <s v="DEN02"/>
    <x v="3"/>
    <n v="908.0095"/>
    <s v="Frederick"/>
    <s v="No instructions needed"/>
  </r>
  <r>
    <n v="98"/>
    <n v="24"/>
    <n v="125"/>
    <s v="Moose"/>
    <x v="0"/>
    <s v="Scottish Fold"/>
    <s v="03/06/2023"/>
    <s v="VAC01"/>
    <x v="5"/>
    <n v="108.58969999999999"/>
    <s v="Frederick"/>
    <s v="No instructions needed"/>
  </r>
  <r>
    <n v="99"/>
    <n v="82"/>
    <n v="77"/>
    <s v="Gizmo"/>
    <x v="1"/>
    <s v="Rottweiler"/>
    <s v="03/27/2023"/>
    <s v="DEN02"/>
    <x v="3"/>
    <n v="806.5077"/>
    <s v="Frederick"/>
    <s v="No instructions needed"/>
  </r>
  <r>
    <n v="100"/>
    <n v="52"/>
    <n v="98"/>
    <s v="Nala"/>
    <x v="1"/>
    <s v="Doberman Pinscher"/>
    <s v="11/21/2023"/>
    <s v="BW07"/>
    <x v="2"/>
    <n v="-161.25380000000001"/>
    <s v="Frederick"/>
    <s v="No instructions needed"/>
  </r>
  <r>
    <n v="101"/>
    <n v="125"/>
    <n v="77"/>
    <s v="Rosie"/>
    <x v="0"/>
    <s v="British Shorthair"/>
    <s v="12/11/2023"/>
    <s v="VAC01"/>
    <x v="5"/>
    <n v="112.2957"/>
    <s v="Baltimore"/>
    <s v="No instructions needed"/>
  </r>
  <r>
    <n v="102"/>
    <n v="69"/>
    <n v="75"/>
    <s v="Thor"/>
    <x v="1"/>
    <s v="Beagle"/>
    <s v="11/16/2023"/>
    <s v="NT05"/>
    <x v="7"/>
    <n v="857.33460000000002"/>
    <s v="Baltimore"/>
    <s v="No instructions needed"/>
  </r>
  <r>
    <n v="103"/>
    <n v="110"/>
    <n v="37"/>
    <s v="Tucker"/>
    <x v="0"/>
    <s v="Great Dane"/>
    <s v="10/07/2023"/>
    <s v="EM06"/>
    <x v="1"/>
    <n v="295.71350000000001"/>
    <s v="Baltimore"/>
    <s v="No instructions needed"/>
  </r>
  <r>
    <n v="104"/>
    <n v="1"/>
    <n v="1"/>
    <s v="Coco"/>
    <x v="0"/>
    <s v="Siamese"/>
    <s v="11/27/2023"/>
    <s v="SUR04"/>
    <x v="0"/>
    <n v="-288.42680000000001"/>
    <s v="Frederick"/>
    <s v="Needs TGH instructions"/>
  </r>
  <r>
    <n v="105"/>
    <n v="156"/>
    <n v="112"/>
    <s v="Pepper"/>
    <x v="0"/>
    <s v="Doberman Pinscher"/>
    <s v="05/22/2023"/>
    <s v="NT05"/>
    <x v="7"/>
    <n v="425.30349999999999"/>
    <s v="Rockville"/>
    <s v="No instructions needed"/>
  </r>
  <r>
    <n v="106"/>
    <n v="144"/>
    <n v="131"/>
    <s v="Bailey"/>
    <x v="0"/>
    <s v="Australian Shepherd"/>
    <s v="08/15/2023"/>
    <s v="VAC01"/>
    <x v="5"/>
    <n v="-179.93209999999999"/>
    <s v="Rockville"/>
    <s v="No instructions needed"/>
  </r>
  <r>
    <n v="107"/>
    <n v="46"/>
    <n v="106"/>
    <s v="Finn"/>
    <x v="0"/>
    <s v="Abyssinian"/>
    <s v="11/07/2023"/>
    <s v="RAD08"/>
    <x v="4"/>
    <n v="984.02539999999999"/>
    <s v="Baltimore"/>
    <s v="No instructions needed"/>
  </r>
  <r>
    <n v="108"/>
    <n v="32"/>
    <n v="6"/>
    <s v="Murphy"/>
    <x v="0"/>
    <s v="Chihuahua"/>
    <s v="07/27/2023"/>
    <s v="SUR04"/>
    <x v="0"/>
    <n v="516.75130000000001"/>
    <s v="Rockville"/>
    <s v="Needs TGH instructions"/>
  </r>
  <r>
    <n v="109"/>
    <n v="80"/>
    <n v="116"/>
    <s v="Sadie"/>
    <x v="1"/>
    <s v="Border Collie"/>
    <s v="10/03/2023"/>
    <s v="NT05"/>
    <x v="7"/>
    <n v="242.7064"/>
    <s v="Baltimore"/>
    <s v="No instructions needed"/>
  </r>
  <r>
    <n v="110"/>
    <n v="141"/>
    <n v="108"/>
    <s v="Gizmo"/>
    <x v="1"/>
    <s v="Shih Tzu"/>
    <s v="11/28/2023"/>
    <s v="NT05"/>
    <x v="7"/>
    <n v="438.31729999999999"/>
    <s v="Frederick"/>
    <s v="No instructions needed"/>
  </r>
  <r>
    <n v="111"/>
    <n v="97"/>
    <n v="72"/>
    <s v="Marley"/>
    <x v="1"/>
    <s v="German Shepherd"/>
    <s v="11/17/2023"/>
    <s v="VAC01"/>
    <x v="5"/>
    <n v="119.9024"/>
    <s v="Baltimore"/>
    <s v="No instructions needed"/>
  </r>
  <r>
    <n v="112"/>
    <n v="110"/>
    <n v="21"/>
    <s v="Nala"/>
    <x v="1"/>
    <s v="Labrador Retriever"/>
    <s v="09/28/2023"/>
    <s v="BW07"/>
    <x v="2"/>
    <n v="398.31779999999998"/>
    <s v="Rockville"/>
    <s v="No instructions needed"/>
  </r>
  <r>
    <n v="113"/>
    <n v="25"/>
    <n v="73"/>
    <s v="Pepper"/>
    <x v="0"/>
    <s v="Scottish Fold"/>
    <s v="10/26/2023"/>
    <s v="DEN02"/>
    <x v="3"/>
    <n v="837.64729999999997"/>
    <s v="Rockville"/>
    <s v="No instructions needed"/>
  </r>
  <r>
    <n v="114"/>
    <n v="72"/>
    <n v="63"/>
    <s v="Simba"/>
    <x v="0"/>
    <s v="Dachshund"/>
    <s v="06/27/2023"/>
    <s v="EM06"/>
    <x v="1"/>
    <n v="422.6103"/>
    <s v="Frederick"/>
    <s v="No instructions needed"/>
  </r>
  <r>
    <n v="115"/>
    <n v="55"/>
    <n v="21"/>
    <s v="Shadow"/>
    <x v="1"/>
    <s v="Labrador Retriever"/>
    <s v="04/30/2023"/>
    <s v="VAC01"/>
    <x v="5"/>
    <n v="717.8039"/>
    <s v="Frederick"/>
    <s v="No instructions needed"/>
  </r>
  <r>
    <n v="116"/>
    <n v="85"/>
    <n v="131"/>
    <s v="Leo"/>
    <x v="0"/>
    <s v="Maine Coon"/>
    <s v="04/01/2023"/>
    <s v="VAC01"/>
    <x v="5"/>
    <n v="804.76369999999997"/>
    <s v="Frederick"/>
    <s v="No instructions needed"/>
  </r>
  <r>
    <n v="117"/>
    <n v="102"/>
    <n v="101"/>
    <s v="Rocky"/>
    <x v="1"/>
    <s v="Abyssinian"/>
    <s v="07/10/2023"/>
    <s v="CHK03"/>
    <x v="6"/>
    <n v="831.80560000000003"/>
    <s v="Baltimore"/>
    <s v="No instructions needed"/>
  </r>
  <r>
    <n v="118"/>
    <n v="104"/>
    <n v="101"/>
    <s v="Daisy"/>
    <x v="1"/>
    <s v="Great Dane"/>
    <s v="04/02/2023"/>
    <s v="NT05"/>
    <x v="7"/>
    <n v="456.93849999999998"/>
    <s v="Frederick"/>
    <s v="No instructions needed"/>
  </r>
  <r>
    <n v="119"/>
    <n v="3"/>
    <n v="112"/>
    <s v="Harley"/>
    <x v="1"/>
    <s v="Dachshund"/>
    <s v="02/16/2023"/>
    <s v="CHK03"/>
    <x v="6"/>
    <n v="-145.4691"/>
    <s v="Baltimore"/>
    <s v="No instructions needed"/>
  </r>
  <r>
    <n v="120"/>
    <n v="136"/>
    <n v="11"/>
    <s v="Milo"/>
    <x v="0"/>
    <s v="Siamese"/>
    <s v="11/04/2023"/>
    <s v="NT05"/>
    <x v="7"/>
    <n v="996.18060000000003"/>
    <s v="Frederick"/>
    <s v="No instructions needed"/>
  </r>
  <r>
    <n v="121"/>
    <n v="63"/>
    <n v="145"/>
    <s v="Penny"/>
    <x v="0"/>
    <s v="Beagle"/>
    <s v="12/05/2023"/>
    <s v="RAD08"/>
    <x v="4"/>
    <n v="591.20360000000005"/>
    <s v="Frederick"/>
    <s v="No instructions needed"/>
  </r>
  <r>
    <n v="122"/>
    <n v="119"/>
    <n v="45"/>
    <s v="Jax"/>
    <x v="1"/>
    <s v="Shih Tzu"/>
    <s v="05/14/2023"/>
    <s v="BW07"/>
    <x v="2"/>
    <n v="-269.2534"/>
    <s v="Baltimore"/>
    <s v="No instructions needed"/>
  </r>
  <r>
    <n v="123"/>
    <n v="21"/>
    <n v="94"/>
    <s v="Oreo"/>
    <x v="1"/>
    <s v="Boston Terrier"/>
    <s v="04/18/2023"/>
    <s v="RAD08"/>
    <x v="4"/>
    <n v="344.29219999999998"/>
    <s v="Baltimore"/>
    <s v="No instructions needed"/>
  </r>
  <r>
    <n v="124"/>
    <n v="114"/>
    <n v="119"/>
    <s v="Ace"/>
    <x v="0"/>
    <s v="Boston Terrier"/>
    <s v="05/29/2023"/>
    <s v="EM06"/>
    <x v="1"/>
    <n v="307.71289999999999"/>
    <s v="Frederick"/>
    <s v="No instructions needed"/>
  </r>
  <r>
    <n v="125"/>
    <n v="47"/>
    <n v="125"/>
    <s v="Lucy"/>
    <x v="1"/>
    <s v="Sphynx"/>
    <s v="03/24/2023"/>
    <s v="EM06"/>
    <x v="1"/>
    <n v="-25.637499999999999"/>
    <s v="Baltimore"/>
    <s v="No instructions needed"/>
  </r>
  <r>
    <n v="126"/>
    <n v="67"/>
    <n v="146"/>
    <s v="Bentley"/>
    <x v="1"/>
    <s v="Australian Shepherd"/>
    <s v="01/27/2023"/>
    <s v="SUR04"/>
    <x v="0"/>
    <n v="-142.05969999999999"/>
    <s v="Frederick"/>
    <s v="Needs TGH instructions"/>
  </r>
  <r>
    <n v="127"/>
    <n v="58"/>
    <n v="98"/>
    <s v="Oliver"/>
    <x v="0"/>
    <s v="Russian Blue"/>
    <s v="11/22/2023"/>
    <s v="CHK03"/>
    <x v="6"/>
    <n v="927.40139999999997"/>
    <s v="Frederick"/>
    <s v="No instructions needed"/>
  </r>
  <r>
    <n v="128"/>
    <n v="58"/>
    <n v="44"/>
    <s v="Blue"/>
    <x v="0"/>
    <s v="Ragdoll"/>
    <s v="02/02/2023"/>
    <s v="NT05"/>
    <x v="7"/>
    <n v="-55.932299999999998"/>
    <s v="Frederick"/>
    <s v="No instructions needed"/>
  </r>
  <r>
    <n v="129"/>
    <n v="180"/>
    <n v="118"/>
    <s v="Finn"/>
    <x v="1"/>
    <s v="German Shepherd"/>
    <s v="08/21/2023"/>
    <s v="SUR04"/>
    <x v="0"/>
    <n v="295.8938"/>
    <s v="Rockville"/>
    <s v="Needs TGH instructions"/>
  </r>
  <r>
    <n v="130"/>
    <n v="157"/>
    <n v="148"/>
    <s v="Ellie"/>
    <x v="0"/>
    <s v="Bulldog"/>
    <s v="09/11/2023"/>
    <s v="RAD08"/>
    <x v="4"/>
    <n v="980.2133"/>
    <s v="Frederick"/>
    <s v="No instructions needed"/>
  </r>
  <r>
    <n v="131"/>
    <n v="159"/>
    <n v="56"/>
    <s v="Tucker"/>
    <x v="1"/>
    <s v="Golden Retriever"/>
    <s v="09/28/2023"/>
    <s v="DEN02"/>
    <x v="3"/>
    <n v="178.17679999999999"/>
    <s v="Baltimore"/>
    <s v="No instructions needed"/>
  </r>
  <r>
    <n v="132"/>
    <n v="110"/>
    <n v="11"/>
    <s v="Tucker"/>
    <x v="0"/>
    <s v="Ragdoll"/>
    <s v="02/15/2023"/>
    <s v="BW07"/>
    <x v="2"/>
    <n v="342.37950000000001"/>
    <s v="Rockville"/>
    <s v="No instructions needed"/>
  </r>
  <r>
    <n v="133"/>
    <n v="171"/>
    <n v="17"/>
    <s v="Koda"/>
    <x v="1"/>
    <s v="Poodle"/>
    <s v="08/31/2023"/>
    <s v="SUR04"/>
    <x v="0"/>
    <n v="800.8288"/>
    <s v="Frederick"/>
    <s v="Needs TGH instructions"/>
  </r>
  <r>
    <n v="134"/>
    <n v="20"/>
    <n v="59"/>
    <s v="Riley"/>
    <x v="0"/>
    <s v="Golden Retriever"/>
    <s v="07/16/2023"/>
    <s v="EM06"/>
    <x v="1"/>
    <n v="149.8827"/>
    <s v="Rockville"/>
    <s v="No instructions needed"/>
  </r>
  <r>
    <n v="135"/>
    <n v="99"/>
    <n v="26"/>
    <s v="Tank"/>
    <x v="0"/>
    <s v="Rottweiler"/>
    <s v="07/10/2023"/>
    <s v="NT05"/>
    <x v="7"/>
    <n v="-195.74870000000001"/>
    <s v="Frederick"/>
    <s v="No instructions needed"/>
  </r>
  <r>
    <n v="136"/>
    <n v="185"/>
    <n v="22"/>
    <s v="Lucy"/>
    <x v="1"/>
    <s v="Doberman Pinscher"/>
    <s v="08/01/2023"/>
    <s v="NT05"/>
    <x v="7"/>
    <n v="7.9272999999999998"/>
    <s v="Baltimore"/>
    <s v="No instructions needed"/>
  </r>
  <r>
    <n v="137"/>
    <n v="51"/>
    <n v="133"/>
    <s v="Thor"/>
    <x v="1"/>
    <s v="Beagle"/>
    <s v="12/25/2023"/>
    <s v="CHK03"/>
    <x v="6"/>
    <n v="438.78190000000001"/>
    <s v="Rockville"/>
    <s v="No instructions needed"/>
  </r>
  <r>
    <n v="138"/>
    <n v="50"/>
    <n v="140"/>
    <s v="Luna"/>
    <x v="0"/>
    <s v="Border Collie"/>
    <s v="03/26/2023"/>
    <s v="NT05"/>
    <x v="7"/>
    <n v="316.45010000000002"/>
    <s v="Baltimore"/>
    <s v="No instructions needed"/>
  </r>
  <r>
    <n v="139"/>
    <n v="113"/>
    <n v="50"/>
    <s v="Gizmo"/>
    <x v="0"/>
    <s v="Siamese"/>
    <s v="10/14/2023"/>
    <s v="DEN02"/>
    <x v="3"/>
    <n v="350.8954"/>
    <s v="Frederick"/>
    <s v="No instructions needed"/>
  </r>
  <r>
    <n v="140"/>
    <n v="118"/>
    <n v="32"/>
    <s v="Simba"/>
    <x v="1"/>
    <s v="Cocker Spaniel"/>
    <s v="03/06/2023"/>
    <s v="SUR04"/>
    <x v="0"/>
    <n v="828.02179999999998"/>
    <s v="Baltimore"/>
    <s v="Needs TGH instructions"/>
  </r>
  <r>
    <n v="141"/>
    <n v="92"/>
    <n v="1"/>
    <s v="Bella"/>
    <x v="0"/>
    <s v="Boxer"/>
    <s v="11/14/2023"/>
    <s v="BW07"/>
    <x v="2"/>
    <n v="217.81880000000001"/>
    <s v="Frederick"/>
    <s v="No instructions needed"/>
  </r>
  <r>
    <n v="142"/>
    <n v="77"/>
    <n v="122"/>
    <s v="Loki"/>
    <x v="0"/>
    <s v="Great Dane"/>
    <s v="12/07/2023"/>
    <s v="EM06"/>
    <x v="1"/>
    <n v="551.09540000000004"/>
    <s v="Baltimore"/>
    <s v="No instructions needed"/>
  </r>
  <r>
    <n v="143"/>
    <n v="47"/>
    <n v="17"/>
    <s v="Zoey"/>
    <x v="0"/>
    <s v="Yorkshire Terrier"/>
    <s v="04/12/2023"/>
    <s v="BW07"/>
    <x v="2"/>
    <n v="-41.724899999999998"/>
    <s v="Frederick"/>
    <s v="No instructions needed"/>
  </r>
  <r>
    <n v="144"/>
    <n v="174"/>
    <n v="33"/>
    <s v="Sadie"/>
    <x v="1"/>
    <s v="Siberian Husky"/>
    <s v="12/08/2023"/>
    <s v="RAD08"/>
    <x v="4"/>
    <n v="933.28129999999999"/>
    <s v="Rockville"/>
    <s v="No instructions needed"/>
  </r>
  <r>
    <n v="145"/>
    <n v="50"/>
    <n v="116"/>
    <s v="Luna"/>
    <x v="0"/>
    <s v="Boxer"/>
    <s v="08/28/2023"/>
    <s v="SUR04"/>
    <x v="0"/>
    <n v="684.50080000000003"/>
    <s v="Baltimore"/>
    <s v="Needs TGH instructions"/>
  </r>
  <r>
    <n v="146"/>
    <n v="178"/>
    <n v="86"/>
    <s v="Ellie"/>
    <x v="0"/>
    <s v="British Shorthair"/>
    <s v="11/15/2023"/>
    <s v="BW07"/>
    <x v="2"/>
    <n v="463.15280000000001"/>
    <s v="Frederick"/>
    <s v="No instructions needed"/>
  </r>
  <r>
    <n v="147"/>
    <n v="109"/>
    <n v="119"/>
    <s v="Penny"/>
    <x v="1"/>
    <s v="German Shepherd"/>
    <s v="03/16/2023"/>
    <s v="DEN02"/>
    <x v="3"/>
    <n v="952.69799999999998"/>
    <s v="Baltimore"/>
    <s v="No instructions needed"/>
  </r>
  <r>
    <n v="148"/>
    <n v="183"/>
    <n v="95"/>
    <s v="Oreo"/>
    <x v="0"/>
    <s v="Ragdoll"/>
    <s v="08/14/2023"/>
    <s v="NT05"/>
    <x v="7"/>
    <n v="844.56769999999995"/>
    <s v="Frederick"/>
    <s v="No instructions needed"/>
  </r>
  <r>
    <n v="149"/>
    <n v="11"/>
    <n v="52"/>
    <s v="Milo"/>
    <x v="0"/>
    <s v="Great Dane"/>
    <s v="04/03/2023"/>
    <s v="SUR04"/>
    <x v="0"/>
    <n v="292.92410000000001"/>
    <s v="Frederick"/>
    <s v="Needs TGH instructions"/>
  </r>
  <r>
    <n v="150"/>
    <n v="91"/>
    <n v="36"/>
    <s v="Bentley"/>
    <x v="1"/>
    <s v="Yorkshire Terrier"/>
    <s v="05/17/2023"/>
    <s v="CHK03"/>
    <x v="6"/>
    <n v="235.36689999999999"/>
    <s v="Frederick"/>
    <s v="No instructions needed"/>
  </r>
  <r>
    <n v="151"/>
    <n v="107"/>
    <n v="3"/>
    <s v="Zeus"/>
    <x v="1"/>
    <s v="Poodle"/>
    <s v="05/10/2023"/>
    <s v="SUR04"/>
    <x v="0"/>
    <n v="55.591500000000003"/>
    <s v="Baltimore"/>
    <s v="Needs TGH instructions"/>
  </r>
  <r>
    <n v="152"/>
    <n v="55"/>
    <n v="33"/>
    <s v="Zoey"/>
    <x v="0"/>
    <s v="Border Collie"/>
    <s v="08/17/2023"/>
    <s v="SUR04"/>
    <x v="0"/>
    <n v="990.17259999999999"/>
    <s v="Frederick"/>
    <s v="Needs TGH instructions"/>
  </r>
  <r>
    <n v="153"/>
    <n v="18"/>
    <n v="148"/>
    <s v="Cooper"/>
    <x v="1"/>
    <s v="Rottweiler"/>
    <s v="05/30/2023"/>
    <s v="CHK03"/>
    <x v="6"/>
    <n v="705.97770000000003"/>
    <s v="Baltimore"/>
    <s v="No instructions needed"/>
  </r>
  <r>
    <n v="154"/>
    <n v="25"/>
    <n v="25"/>
    <s v="Sadie"/>
    <x v="1"/>
    <s v="Persian"/>
    <s v="03/16/2023"/>
    <s v="SUR04"/>
    <x v="0"/>
    <n v="98.849199999999996"/>
    <s v="Baltimore"/>
    <s v="Needs TGH instructions"/>
  </r>
  <r>
    <n v="155"/>
    <n v="116"/>
    <n v="85"/>
    <s v="Koda"/>
    <x v="0"/>
    <s v="Border Collie"/>
    <s v="11/10/2023"/>
    <s v="CHK03"/>
    <x v="6"/>
    <n v="-23.1691"/>
    <s v="Frederick"/>
    <s v="No instructions needed"/>
  </r>
  <r>
    <n v="156"/>
    <n v="154"/>
    <n v="66"/>
    <s v="Rocky"/>
    <x v="1"/>
    <s v="German Shepherd"/>
    <s v="08/05/2023"/>
    <s v="VAC01"/>
    <x v="5"/>
    <n v="268.58409999999998"/>
    <s v="Rockville"/>
    <s v="No instructions needed"/>
  </r>
  <r>
    <n v="157"/>
    <n v="112"/>
    <n v="34"/>
    <s v="Ruby"/>
    <x v="1"/>
    <s v="Golden Retriever"/>
    <s v="09/18/2023"/>
    <s v="CHK03"/>
    <x v="6"/>
    <n v="90.513000000000005"/>
    <s v="Frederick"/>
    <s v="No instructions needed"/>
  </r>
  <r>
    <n v="158"/>
    <n v="185"/>
    <n v="70"/>
    <s v="Nala"/>
    <x v="0"/>
    <s v="Great Dane"/>
    <s v="09/17/2023"/>
    <s v="BW07"/>
    <x v="2"/>
    <n v="907.32479999999998"/>
    <s v="Frederick"/>
    <s v="No instructions needed"/>
  </r>
  <r>
    <n v="159"/>
    <n v="87"/>
    <n v="47"/>
    <s v="Lucy"/>
    <x v="1"/>
    <s v="Chihuahua"/>
    <s v="04/26/2023"/>
    <s v="SUR04"/>
    <x v="0"/>
    <n v="-54.969900000000003"/>
    <s v="Rockville"/>
    <s v="Needs TGH instructions"/>
  </r>
  <r>
    <n v="160"/>
    <n v="147"/>
    <n v="69"/>
    <s v="Leo"/>
    <x v="0"/>
    <s v="Beagle"/>
    <s v="02/11/2023"/>
    <s v="VAC01"/>
    <x v="5"/>
    <n v="-208.95840000000001"/>
    <s v="Rockville"/>
    <s v="No instructions needed"/>
  </r>
  <r>
    <n v="161"/>
    <n v="131"/>
    <n v="83"/>
    <s v="Moose"/>
    <x v="1"/>
    <s v="Siberian Husky"/>
    <s v="11/22/2023"/>
    <s v="BW07"/>
    <x v="2"/>
    <n v="-245.36539999999999"/>
    <s v="Rockville"/>
    <s v="No instructions needed"/>
  </r>
  <r>
    <n v="162"/>
    <n v="177"/>
    <n v="84"/>
    <s v="Nova"/>
    <x v="0"/>
    <s v="Scottish Fold"/>
    <s v="04/17/2023"/>
    <s v="BW07"/>
    <x v="2"/>
    <n v="429.26049999999998"/>
    <s v="Rockville"/>
    <s v="No instructions needed"/>
  </r>
  <r>
    <n v="163"/>
    <n v="166"/>
    <n v="40"/>
    <s v="Tank"/>
    <x v="0"/>
    <s v="Dachshund"/>
    <s v="02/08/2023"/>
    <s v="DEN02"/>
    <x v="3"/>
    <n v="123.7726"/>
    <s v="Baltimore"/>
    <s v="No instructions needed"/>
  </r>
  <r>
    <n v="164"/>
    <n v="7"/>
    <n v="114"/>
    <s v="Marley"/>
    <x v="0"/>
    <s v="Abyssinian"/>
    <s v="11/15/2023"/>
    <s v="NT05"/>
    <x v="7"/>
    <n v="-99.235699999999994"/>
    <s v="Frederick"/>
    <s v="No instructions needed"/>
  </r>
  <r>
    <n v="165"/>
    <n v="104"/>
    <n v="32"/>
    <s v="Oliver"/>
    <x v="1"/>
    <s v="Border Collie"/>
    <s v="02/25/2023"/>
    <s v="EM06"/>
    <x v="1"/>
    <n v="2.5354000000000001"/>
    <s v="Frederick"/>
    <s v="No instructions needed"/>
  </r>
  <r>
    <n v="166"/>
    <n v="174"/>
    <n v="102"/>
    <s v="Winston"/>
    <x v="0"/>
    <s v="Doberman Pinscher"/>
    <s v="01/05/2023"/>
    <s v="RAD08"/>
    <x v="4"/>
    <n v="528.31460000000004"/>
    <s v="Rockville"/>
    <s v="No instructions needed"/>
  </r>
  <r>
    <n v="167"/>
    <n v="115"/>
    <n v="22"/>
    <s v="Bella"/>
    <x v="0"/>
    <s v="British Shorthair"/>
    <s v="06/24/2023"/>
    <s v="DEN02"/>
    <x v="3"/>
    <n v="783.82770000000005"/>
    <s v="Frederick"/>
    <s v="No instructions needed"/>
  </r>
  <r>
    <n v="168"/>
    <n v="137"/>
    <n v="77"/>
    <s v="Penny"/>
    <x v="0"/>
    <s v="Bulldog"/>
    <s v="06/12/2023"/>
    <s v="VAC01"/>
    <x v="5"/>
    <n v="9.56"/>
    <s v="Frederick"/>
    <s v="No instructions needed"/>
  </r>
  <r>
    <n v="169"/>
    <n v="90"/>
    <n v="99"/>
    <s v="Simba"/>
    <x v="1"/>
    <s v="Great Dane"/>
    <s v="05/15/2023"/>
    <s v="EM06"/>
    <x v="1"/>
    <n v="172.94040000000001"/>
    <s v="Frederick"/>
    <s v="No instructions needed"/>
  </r>
  <r>
    <n v="170"/>
    <n v="40"/>
    <n v="54"/>
    <s v="Nala"/>
    <x v="0"/>
    <s v="French Bulldog"/>
    <s v="03/29/2023"/>
    <s v="NT05"/>
    <x v="7"/>
    <n v="318.49880000000002"/>
    <s v="Baltimore"/>
    <s v="No instructions needed"/>
  </r>
  <r>
    <n v="171"/>
    <n v="44"/>
    <n v="64"/>
    <s v="Duke"/>
    <x v="1"/>
    <s v="Rottweiler"/>
    <s v="02/19/2023"/>
    <s v="EM06"/>
    <x v="1"/>
    <n v="-152.84360000000001"/>
    <s v="Rockville"/>
    <s v="No instructions needed"/>
  </r>
  <r>
    <n v="172"/>
    <n v="134"/>
    <n v="101"/>
    <s v="Lucy"/>
    <x v="0"/>
    <s v="Rottweiler"/>
    <s v="04/20/2023"/>
    <s v="BW07"/>
    <x v="2"/>
    <n v="925.41030000000001"/>
    <s v="Rockville"/>
    <s v="No instructions needed"/>
  </r>
  <r>
    <n v="173"/>
    <n v="139"/>
    <n v="125"/>
    <s v="Daisy"/>
    <x v="0"/>
    <s v="Abyssinian"/>
    <s v="10/11/2023"/>
    <s v="SUR04"/>
    <x v="0"/>
    <n v="124.3339"/>
    <s v="Frederick"/>
    <s v="Needs TGH instructions"/>
  </r>
  <r>
    <n v="174"/>
    <n v="166"/>
    <n v="25"/>
    <s v="Pepper"/>
    <x v="0"/>
    <s v="Beagle"/>
    <s v="08/18/2023"/>
    <s v="BW07"/>
    <x v="2"/>
    <n v="392.92079999999999"/>
    <s v="Baltimore"/>
    <s v="No instructions needed"/>
  </r>
  <r>
    <n v="175"/>
    <n v="74"/>
    <n v="68"/>
    <s v="Oreo"/>
    <x v="0"/>
    <s v="Boston Terrier"/>
    <s v="03/18/2023"/>
    <s v="EM06"/>
    <x v="1"/>
    <n v="611.38149999999996"/>
    <s v="Baltimore"/>
    <s v="No instructions needed"/>
  </r>
  <r>
    <n v="176"/>
    <n v="167"/>
    <n v="54"/>
    <s v="Cooper"/>
    <x v="1"/>
    <s v="Abyssinian"/>
    <s v="08/23/2023"/>
    <s v="RAD08"/>
    <x v="4"/>
    <n v="-114.69"/>
    <s v="Baltimore"/>
    <s v="No instructions needed"/>
  </r>
  <r>
    <n v="177"/>
    <n v="36"/>
    <n v="49"/>
    <s v="Cooper"/>
    <x v="1"/>
    <s v="British Shorthair"/>
    <s v="10/12/2023"/>
    <s v="NT05"/>
    <x v="7"/>
    <n v="877.64509999999996"/>
    <s v="Baltimore"/>
    <s v="No instructions needed"/>
  </r>
  <r>
    <n v="178"/>
    <n v="23"/>
    <n v="136"/>
    <s v="Jax"/>
    <x v="0"/>
    <s v="Maine Coon"/>
    <s v="03/04/2023"/>
    <s v="BW07"/>
    <x v="2"/>
    <n v="972.06610000000001"/>
    <s v="Baltimore"/>
    <s v="No instructions needed"/>
  </r>
  <r>
    <n v="179"/>
    <n v="100"/>
    <n v="112"/>
    <s v="Chloe"/>
    <x v="1"/>
    <s v="Sphynx"/>
    <s v="02/25/2023"/>
    <s v="VAC01"/>
    <x v="5"/>
    <n v="-54.795099999999998"/>
    <s v="Rockville"/>
    <s v="No instructions needed"/>
  </r>
  <r>
    <n v="180"/>
    <n v="58"/>
    <n v="144"/>
    <s v="Blue"/>
    <x v="0"/>
    <s v="Beagle"/>
    <s v="04/05/2023"/>
    <s v="SUR04"/>
    <x v="0"/>
    <n v="157.59950000000001"/>
    <s v="Baltimore"/>
    <s v="Needs TGH instructions"/>
  </r>
  <r>
    <n v="181"/>
    <n v="91"/>
    <n v="22"/>
    <s v="Shadow"/>
    <x v="0"/>
    <s v="Chihuahua"/>
    <s v="06/09/2023"/>
    <s v="BW07"/>
    <x v="2"/>
    <n v="731.43449999999996"/>
    <s v="Rockville"/>
    <s v="No instructions needed"/>
  </r>
  <r>
    <n v="182"/>
    <n v="173"/>
    <n v="14"/>
    <s v="Daisy"/>
    <x v="0"/>
    <s v="Boston Terrier"/>
    <s v="06/17/2023"/>
    <s v="NT05"/>
    <x v="7"/>
    <n v="824.13589999999999"/>
    <s v="Frederick"/>
    <s v="No instructions needed"/>
  </r>
  <r>
    <n v="183"/>
    <n v="6"/>
    <n v="9"/>
    <s v="Penny"/>
    <x v="1"/>
    <s v="Maine Coon"/>
    <s v="01/24/2023"/>
    <s v="VAC01"/>
    <x v="5"/>
    <n v="-111.2376"/>
    <s v="Frederick"/>
    <s v="No instructions needed"/>
  </r>
  <r>
    <n v="184"/>
    <n v="199"/>
    <n v="16"/>
    <s v="Oliver"/>
    <x v="1"/>
    <s v="Siberian Husky"/>
    <s v="05/26/2023"/>
    <s v="NT05"/>
    <x v="7"/>
    <n v="-130.70259999999999"/>
    <s v="Frederick"/>
    <s v="No instructions needed"/>
  </r>
  <r>
    <n v="185"/>
    <n v="105"/>
    <n v="8"/>
    <s v="Penny"/>
    <x v="0"/>
    <s v="British Shorthair"/>
    <s v="02/01/2023"/>
    <s v="NT05"/>
    <x v="7"/>
    <n v="591.48030000000006"/>
    <s v="Rockville"/>
    <s v="No instructions needed"/>
  </r>
  <r>
    <n v="186"/>
    <n v="75"/>
    <n v="1"/>
    <s v="Blue"/>
    <x v="1"/>
    <s v="Yorkshire Terrier"/>
    <s v="08/12/2023"/>
    <s v="CHK03"/>
    <x v="6"/>
    <n v="969.21100000000001"/>
    <s v="Frederick"/>
    <s v="No instructions needed"/>
  </r>
  <r>
    <n v="187"/>
    <n v="7"/>
    <n v="18"/>
    <s v="Penny"/>
    <x v="0"/>
    <s v="Yorkshire Terrier"/>
    <s v="04/09/2023"/>
    <s v="EM06"/>
    <x v="1"/>
    <n v="315.58300000000003"/>
    <s v="Frederick"/>
    <s v="No instructions needed"/>
  </r>
  <r>
    <n v="188"/>
    <n v="91"/>
    <n v="124"/>
    <s v="Charlie"/>
    <x v="1"/>
    <s v="Scottish Fold"/>
    <s v="10/07/2023"/>
    <s v="EM06"/>
    <x v="1"/>
    <n v="279.47129999999999"/>
    <s v="Baltimore"/>
    <s v="No instructions needed"/>
  </r>
  <r>
    <n v="189"/>
    <n v="123"/>
    <n v="131"/>
    <s v="Harley"/>
    <x v="0"/>
    <s v="Great Dane"/>
    <s v="04/30/2023"/>
    <s v="SUR04"/>
    <x v="0"/>
    <n v="885.03340000000003"/>
    <s v="Frederick"/>
    <s v="Needs TGH instructions"/>
  </r>
  <r>
    <n v="190"/>
    <n v="55"/>
    <n v="94"/>
    <s v="Moose"/>
    <x v="1"/>
    <s v="Golden Retriever"/>
    <s v="06/28/2023"/>
    <s v="SUR04"/>
    <x v="0"/>
    <n v="-153.58519999999999"/>
    <s v="Frederick"/>
    <s v="Needs TGH instructions"/>
  </r>
  <r>
    <n v="191"/>
    <n v="123"/>
    <n v="131"/>
    <s v="Rosie"/>
    <x v="1"/>
    <s v="Chihuahua"/>
    <s v="10/13/2023"/>
    <s v="NT05"/>
    <x v="7"/>
    <n v="153.2954"/>
    <s v="Frederick"/>
    <s v="No instructions needed"/>
  </r>
  <r>
    <n v="192"/>
    <n v="64"/>
    <n v="126"/>
    <s v="Zeus"/>
    <x v="1"/>
    <s v="Siamese"/>
    <s v="04/01/2023"/>
    <s v="RAD08"/>
    <x v="4"/>
    <n v="-230.411"/>
    <s v="Baltimore"/>
    <s v="No instructions needed"/>
  </r>
  <r>
    <n v="193"/>
    <n v="167"/>
    <n v="82"/>
    <s v="Rosie"/>
    <x v="0"/>
    <s v="Bulldog"/>
    <s v="12/12/2023"/>
    <s v="SUR04"/>
    <x v="0"/>
    <n v="325.53809999999999"/>
    <s v="Baltimore"/>
    <s v="Needs TGH instructions"/>
  </r>
  <r>
    <n v="194"/>
    <n v="13"/>
    <n v="75"/>
    <s v="Shadow"/>
    <x v="1"/>
    <s v="Doberman Pinscher"/>
    <s v="12/10/2023"/>
    <s v="NT05"/>
    <x v="7"/>
    <n v="984.0616"/>
    <s v="Baltimore"/>
    <s v="No instructions needed"/>
  </r>
  <r>
    <n v="195"/>
    <n v="94"/>
    <n v="106"/>
    <s v="Atlas"/>
    <x v="1"/>
    <s v="Siberian Husky"/>
    <s v="03/24/2023"/>
    <s v="NT05"/>
    <x v="7"/>
    <n v="722.30449999999996"/>
    <s v="Baltimore"/>
    <s v="No instructions needed"/>
  </r>
  <r>
    <n v="196"/>
    <n v="50"/>
    <n v="10"/>
    <s v="Loki"/>
    <x v="0"/>
    <s v="Golden Retriever"/>
    <s v="04/25/2023"/>
    <s v="BW07"/>
    <x v="2"/>
    <n v="171.8546"/>
    <s v="Rockville"/>
    <s v="No instructions needed"/>
  </r>
  <r>
    <n v="197"/>
    <n v="13"/>
    <n v="51"/>
    <s v="Loki"/>
    <x v="0"/>
    <s v="British Shorthair"/>
    <s v="11/19/2023"/>
    <s v="CHK03"/>
    <x v="6"/>
    <n v="-174.1713"/>
    <s v="Rockville"/>
    <s v="No instructions needed"/>
  </r>
  <r>
    <n v="198"/>
    <n v="162"/>
    <n v="143"/>
    <s v="Daisy"/>
    <x v="1"/>
    <s v="Russian Blue"/>
    <s v="07/17/2023"/>
    <s v="VAC01"/>
    <x v="5"/>
    <n v="169.9494"/>
    <s v="Frederick"/>
    <s v="No instructions needed"/>
  </r>
  <r>
    <n v="199"/>
    <n v="115"/>
    <n v="114"/>
    <s v="Winston"/>
    <x v="0"/>
    <s v="Persian"/>
    <s v="08/23/2023"/>
    <s v="BW07"/>
    <x v="2"/>
    <n v="-243.72909999999999"/>
    <s v="Frederick"/>
    <s v="No instructions needed"/>
  </r>
  <r>
    <n v="200"/>
    <n v="1"/>
    <n v="99"/>
    <s v="Ellie"/>
    <x v="0"/>
    <s v="Doberman Pinscher"/>
    <s v="11/26/2023"/>
    <s v="CHK03"/>
    <x v="6"/>
    <n v="-255.8347"/>
    <s v="Frederick"/>
    <s v="No instructions needed"/>
  </r>
  <r>
    <n v="201"/>
    <n v="89"/>
    <n v="76"/>
    <s v="Daisy"/>
    <x v="0"/>
    <s v="Poodle"/>
    <s v="10/09/2023"/>
    <s v="SUR04"/>
    <x v="0"/>
    <n v="384.59699999999998"/>
    <s v="Baltimore"/>
    <s v="Needs TGH instructions"/>
  </r>
  <r>
    <n v="202"/>
    <n v="76"/>
    <n v="115"/>
    <s v="Bailey"/>
    <x v="1"/>
    <s v="Yorkshire Terrier"/>
    <s v="09/12/2023"/>
    <s v="EM06"/>
    <x v="1"/>
    <n v="542.28710000000001"/>
    <s v="Baltimore"/>
    <s v="No instructions needed"/>
  </r>
  <r>
    <n v="203"/>
    <n v="112"/>
    <n v="39"/>
    <s v="Milo"/>
    <x v="1"/>
    <s v="Siamese"/>
    <s v="11/06/2023"/>
    <s v="RAD08"/>
    <x v="4"/>
    <n v="-253.0188"/>
    <s v="Frederick"/>
    <s v="No instructions needed"/>
  </r>
  <r>
    <n v="204"/>
    <n v="173"/>
    <n v="89"/>
    <s v="Leo"/>
    <x v="1"/>
    <s v="Maine Coon"/>
    <s v="04/04/2023"/>
    <s v="CHK03"/>
    <x v="6"/>
    <n v="334.7047"/>
    <s v="Baltimore"/>
    <s v="No instructions needed"/>
  </r>
  <r>
    <n v="205"/>
    <n v="18"/>
    <n v="2"/>
    <s v="Luna"/>
    <x v="0"/>
    <s v="Shih Tzu"/>
    <s v="03/15/2023"/>
    <s v="NT05"/>
    <x v="7"/>
    <n v="-167.03630000000001"/>
    <s v="Baltimore"/>
    <s v="No instructions needed"/>
  </r>
  <r>
    <n v="206"/>
    <n v="199"/>
    <n v="8"/>
    <s v="Riley"/>
    <x v="0"/>
    <s v="Poodle"/>
    <s v="12/26/2023"/>
    <s v="DEN02"/>
    <x v="3"/>
    <n v="61.729500000000002"/>
    <s v="Rockville"/>
    <s v="No instructions needed"/>
  </r>
  <r>
    <n v="207"/>
    <n v="112"/>
    <n v="139"/>
    <s v="Rocky"/>
    <x v="0"/>
    <s v="Scottish Fold"/>
    <s v="05/05/2023"/>
    <s v="VAC01"/>
    <x v="5"/>
    <n v="971.60230000000001"/>
    <s v="Frederick"/>
    <s v="No instructions needed"/>
  </r>
  <r>
    <n v="208"/>
    <n v="39"/>
    <n v="3"/>
    <s v="Harley"/>
    <x v="1"/>
    <s v="British Shorthair"/>
    <s v="10/24/2023"/>
    <s v="NT05"/>
    <x v="7"/>
    <n v="302.50189999999998"/>
    <s v="Frederick"/>
    <s v="No instructions needed"/>
  </r>
  <r>
    <n v="209"/>
    <n v="176"/>
    <n v="68"/>
    <s v="Rosie"/>
    <x v="0"/>
    <s v="Golden Retriever"/>
    <s v="08/24/2023"/>
    <s v="CHK03"/>
    <x v="6"/>
    <n v="108.2809"/>
    <s v="Baltimore"/>
    <s v="No instructions needed"/>
  </r>
  <r>
    <n v="210"/>
    <n v="179"/>
    <n v="99"/>
    <s v="Scout"/>
    <x v="1"/>
    <s v="Australian Shepherd"/>
    <s v="03/01/2023"/>
    <s v="SUR04"/>
    <x v="0"/>
    <n v="836.74210000000005"/>
    <s v="Frederick"/>
    <s v="Needs TGH instructions"/>
  </r>
  <r>
    <n v="211"/>
    <n v="88"/>
    <n v="124"/>
    <s v="Charlie"/>
    <x v="0"/>
    <s v="Siberian Husky"/>
    <s v="07/14/2023"/>
    <s v="EM06"/>
    <x v="1"/>
    <n v="790.63319999999999"/>
    <s v="Frederick"/>
    <s v="No instructions needed"/>
  </r>
  <r>
    <n v="212"/>
    <n v="124"/>
    <n v="98"/>
    <s v="Oreo"/>
    <x v="0"/>
    <s v="Persian"/>
    <s v="01/14/2023"/>
    <s v="NT05"/>
    <x v="7"/>
    <n v="-105.5304"/>
    <s v="Frederick"/>
    <s v="No instructions needed"/>
  </r>
  <r>
    <n v="213"/>
    <n v="68"/>
    <n v="24"/>
    <s v="Finn"/>
    <x v="1"/>
    <s v="Beagle"/>
    <s v="06/15/2023"/>
    <s v="BW07"/>
    <x v="2"/>
    <n v="23.4892"/>
    <s v="Baltimore"/>
    <s v="No instructions needed"/>
  </r>
  <r>
    <n v="214"/>
    <n v="163"/>
    <n v="132"/>
    <s v="Daisy"/>
    <x v="0"/>
    <s v="Australian Shepherd"/>
    <s v="10/04/2023"/>
    <s v="EM06"/>
    <x v="1"/>
    <n v="-9.1983999999999995"/>
    <s v="Baltimore"/>
    <s v="No instructions needed"/>
  </r>
  <r>
    <n v="215"/>
    <n v="4"/>
    <n v="150"/>
    <s v="Oreo"/>
    <x v="1"/>
    <s v="Cocker Spaniel"/>
    <s v="12/01/2023"/>
    <s v="BW07"/>
    <x v="2"/>
    <n v="-157.8407"/>
    <s v="Frederick"/>
    <s v="No instructions needed"/>
  </r>
  <r>
    <n v="216"/>
    <n v="155"/>
    <n v="15"/>
    <s v="Koda"/>
    <x v="0"/>
    <s v="French Bulldog"/>
    <s v="11/14/2023"/>
    <s v="EM06"/>
    <x v="1"/>
    <n v="91.898099999999999"/>
    <s v="Frederick"/>
    <s v="No instructions needed"/>
  </r>
  <r>
    <n v="217"/>
    <n v="48"/>
    <n v="92"/>
    <s v="Bella"/>
    <x v="0"/>
    <s v="Golden Retriever"/>
    <s v="11/22/2023"/>
    <s v="RAD08"/>
    <x v="4"/>
    <n v="526.75620000000004"/>
    <s v="Frederick"/>
    <s v="No instructions needed"/>
  </r>
  <r>
    <n v="218"/>
    <n v="27"/>
    <n v="83"/>
    <s v="Luna"/>
    <x v="0"/>
    <s v="Rottweiler"/>
    <s v="05/16/2023"/>
    <s v="VAC01"/>
    <x v="5"/>
    <n v="548.65170000000001"/>
    <s v="Frederick"/>
    <s v="No instructions needed"/>
  </r>
  <r>
    <n v="219"/>
    <n v="14"/>
    <n v="80"/>
    <s v="Bentley"/>
    <x v="1"/>
    <s v="Persian"/>
    <s v="12/21/2023"/>
    <s v="CHK03"/>
    <x v="6"/>
    <n v="588.49030000000005"/>
    <s v="Frederick"/>
    <s v="No instructions needed"/>
  </r>
  <r>
    <n v="220"/>
    <n v="171"/>
    <n v="66"/>
    <s v="Tank"/>
    <x v="0"/>
    <s v="Siberian Husky"/>
    <s v="10/17/2023"/>
    <s v="BW07"/>
    <x v="2"/>
    <n v="378.3211"/>
    <s v="Rockville"/>
    <s v="No instructions needed"/>
  </r>
  <r>
    <n v="221"/>
    <n v="158"/>
    <n v="83"/>
    <s v="Remy"/>
    <x v="0"/>
    <s v="Persian"/>
    <s v="10/03/2023"/>
    <s v="SUR04"/>
    <x v="0"/>
    <n v="314.40159999999997"/>
    <s v="Frederick"/>
    <s v="Needs TGH instructions"/>
  </r>
  <r>
    <n v="222"/>
    <n v="150"/>
    <n v="128"/>
    <s v="Moose"/>
    <x v="0"/>
    <s v="Labrador Retriever"/>
    <s v="05/03/2023"/>
    <s v="RAD08"/>
    <x v="4"/>
    <n v="626.16200000000003"/>
    <s v="Rockville"/>
    <s v="No instructions needed"/>
  </r>
  <r>
    <n v="223"/>
    <n v="112"/>
    <n v="135"/>
    <s v="Gizmo"/>
    <x v="1"/>
    <s v="Cocker Spaniel"/>
    <s v="01/30/2023"/>
    <s v="CHK03"/>
    <x v="6"/>
    <n v="-227.3981"/>
    <s v="Baltimore"/>
    <s v="No instructions needed"/>
  </r>
  <r>
    <n v="224"/>
    <n v="14"/>
    <n v="83"/>
    <s v="Milo"/>
    <x v="1"/>
    <s v="Rottweiler"/>
    <s v="01/01/2024"/>
    <s v="EM06"/>
    <x v="1"/>
    <n v="-5.4984999999999999"/>
    <s v="Rockville"/>
    <s v="No instructions needed"/>
  </r>
  <r>
    <n v="225"/>
    <n v="132"/>
    <n v="76"/>
    <s v="Rosie"/>
    <x v="1"/>
    <s v="Boston Terrier"/>
    <s v="01/19/2023"/>
    <s v="NT05"/>
    <x v="7"/>
    <n v="459.96199999999999"/>
    <s v="Frederick"/>
    <s v="No instructions needed"/>
  </r>
  <r>
    <n v="226"/>
    <n v="80"/>
    <n v="138"/>
    <s v="Bailey"/>
    <x v="1"/>
    <s v="Shih Tzu"/>
    <s v="05/01/2023"/>
    <s v="SUR04"/>
    <x v="0"/>
    <n v="986.57500000000005"/>
    <s v="Frederick"/>
    <s v="Needs TGH instructions"/>
  </r>
  <r>
    <n v="227"/>
    <n v="158"/>
    <n v="83"/>
    <s v="Cooper"/>
    <x v="0"/>
    <s v="Golden Retriever"/>
    <s v="07/14/2023"/>
    <s v="DEN02"/>
    <x v="3"/>
    <n v="287.66730000000001"/>
    <s v="Frederick"/>
    <s v="No instructions needed"/>
  </r>
  <r>
    <n v="228"/>
    <n v="162"/>
    <n v="45"/>
    <s v="Daisy"/>
    <x v="0"/>
    <s v="Siamese"/>
    <s v="08/26/2023"/>
    <s v="NT05"/>
    <x v="7"/>
    <n v="-141.47989999999999"/>
    <s v="Frederick"/>
    <s v="No instructions needed"/>
  </r>
  <r>
    <n v="229"/>
    <n v="164"/>
    <n v="97"/>
    <s v="Finn"/>
    <x v="0"/>
    <s v="Ragdoll"/>
    <s v="11/14/2023"/>
    <s v="CHK03"/>
    <x v="6"/>
    <n v="930.03089999999997"/>
    <s v="Frederick"/>
    <s v="No instructions needed"/>
  </r>
  <r>
    <n v="230"/>
    <n v="24"/>
    <n v="6"/>
    <s v="Cooper"/>
    <x v="1"/>
    <s v="Chihuahua"/>
    <s v="08/27/2023"/>
    <s v="SUR04"/>
    <x v="0"/>
    <n v="932.0027"/>
    <s v="Frederick"/>
    <s v="Needs TGH instructions"/>
  </r>
  <r>
    <n v="231"/>
    <n v="169"/>
    <n v="53"/>
    <s v="Loki"/>
    <x v="0"/>
    <s v="Russian Blue"/>
    <s v="04/03/2023"/>
    <s v="DEN02"/>
    <x v="3"/>
    <n v="691.3075"/>
    <s v="Frederick"/>
    <s v="No instructions needed"/>
  </r>
  <r>
    <n v="232"/>
    <n v="71"/>
    <n v="72"/>
    <s v="Bentley"/>
    <x v="1"/>
    <s v="Shih Tzu"/>
    <s v="01/18/2023"/>
    <s v="EM06"/>
    <x v="1"/>
    <n v="473.59789999999998"/>
    <s v="Rockville"/>
    <s v="No instructions needed"/>
  </r>
  <r>
    <n v="233"/>
    <n v="146"/>
    <n v="85"/>
    <s v="Tucker"/>
    <x v="1"/>
    <s v="Bengal"/>
    <s v="05/29/2023"/>
    <s v="RAD08"/>
    <x v="4"/>
    <n v="663.98209999999995"/>
    <s v="Baltimore"/>
    <s v="No instructions needed"/>
  </r>
  <r>
    <n v="234"/>
    <n v="155"/>
    <n v="46"/>
    <s v="Thor"/>
    <x v="0"/>
    <s v="Bengal"/>
    <s v="01/19/2023"/>
    <s v="DEN02"/>
    <x v="3"/>
    <n v="-1.9833000000000001"/>
    <s v="Frederick"/>
    <s v="No instructions needed"/>
  </r>
  <r>
    <n v="235"/>
    <n v="200"/>
    <n v="129"/>
    <s v="Pepper"/>
    <x v="1"/>
    <s v="Poodle"/>
    <s v="06/01/2023"/>
    <s v="CHK03"/>
    <x v="6"/>
    <n v="666.29859999999996"/>
    <s v="Baltimore"/>
    <s v="No instructions needed"/>
  </r>
  <r>
    <n v="236"/>
    <n v="6"/>
    <n v="48"/>
    <s v="Marley"/>
    <x v="1"/>
    <s v="Sphynx"/>
    <s v="03/08/2023"/>
    <s v="CHK03"/>
    <x v="6"/>
    <n v="235.96690000000001"/>
    <s v="Rockville"/>
    <s v="No instructions needed"/>
  </r>
  <r>
    <n v="237"/>
    <n v="55"/>
    <n v="10"/>
    <s v="Moose"/>
    <x v="0"/>
    <s v="Cocker Spaniel"/>
    <s v="05/14/2023"/>
    <s v="NT05"/>
    <x v="7"/>
    <n v="58.4985"/>
    <s v="Baltimore"/>
    <s v="No instructions needed"/>
  </r>
  <r>
    <n v="238"/>
    <n v="130"/>
    <n v="134"/>
    <s v="Oliver"/>
    <x v="0"/>
    <s v="Golden Retriever"/>
    <s v="03/19/2023"/>
    <s v="BW07"/>
    <x v="2"/>
    <n v="368.49310000000003"/>
    <s v="Rockville"/>
    <s v="No instructions needed"/>
  </r>
  <r>
    <n v="239"/>
    <n v="112"/>
    <n v="57"/>
    <s v="Scout"/>
    <x v="0"/>
    <s v="Border Collie"/>
    <s v="12/05/2023"/>
    <s v="CHK03"/>
    <x v="6"/>
    <n v="301.93860000000001"/>
    <s v="Frederick"/>
    <s v="No instructions needed"/>
  </r>
  <r>
    <n v="240"/>
    <n v="199"/>
    <n v="144"/>
    <s v="Charlie"/>
    <x v="1"/>
    <s v="Beagle"/>
    <s v="12/29/2023"/>
    <s v="RAD08"/>
    <x v="4"/>
    <n v="604.56859999999995"/>
    <s v="Baltimore"/>
    <s v="No instructions needed"/>
  </r>
  <r>
    <n v="241"/>
    <n v="37"/>
    <n v="23"/>
    <s v="Atlas"/>
    <x v="1"/>
    <s v="Ragdoll"/>
    <s v="09/12/2023"/>
    <s v="EM06"/>
    <x v="1"/>
    <n v="706.2912"/>
    <s v="Baltimore"/>
    <s v="No instructions needed"/>
  </r>
  <r>
    <n v="242"/>
    <n v="92"/>
    <n v="23"/>
    <s v="Blue"/>
    <x v="0"/>
    <s v="British Shorthair"/>
    <s v="10/16/2023"/>
    <s v="DEN02"/>
    <x v="3"/>
    <n v="989.38890000000004"/>
    <s v="Baltimore"/>
    <s v="No instructions needed"/>
  </r>
  <r>
    <n v="243"/>
    <n v="159"/>
    <n v="108"/>
    <s v="Scout"/>
    <x v="0"/>
    <s v="Dachshund"/>
    <s v="02/20/2023"/>
    <s v="RAD08"/>
    <x v="4"/>
    <n v="402.7056"/>
    <s v="Baltimore"/>
    <s v="No instructions needed"/>
  </r>
  <r>
    <n v="244"/>
    <n v="89"/>
    <n v="100"/>
    <s v="Marley"/>
    <x v="1"/>
    <s v="Boston Terrier"/>
    <s v="03/04/2023"/>
    <s v="RAD08"/>
    <x v="4"/>
    <n v="306.5258"/>
    <s v="Baltimore"/>
    <s v="No instructions needed"/>
  </r>
  <r>
    <n v="245"/>
    <n v="188"/>
    <n v="88"/>
    <s v="Duke"/>
    <x v="0"/>
    <s v="Abyssinian"/>
    <s v="07/19/2023"/>
    <s v="VAC01"/>
    <x v="5"/>
    <n v="494.36079999999998"/>
    <s v="Rockville"/>
    <s v="No instructions needed"/>
  </r>
  <r>
    <n v="246"/>
    <n v="143"/>
    <n v="79"/>
    <s v="Marley"/>
    <x v="0"/>
    <s v="Maine Coon"/>
    <s v="01/28/2023"/>
    <s v="DEN02"/>
    <x v="3"/>
    <n v="-190.655"/>
    <s v="Frederick"/>
    <s v="No instructions needed"/>
  </r>
  <r>
    <n v="247"/>
    <n v="1"/>
    <n v="67"/>
    <s v="Daisy"/>
    <x v="0"/>
    <s v="Yorkshire Terrier"/>
    <s v="05/18/2023"/>
    <s v="RAD08"/>
    <x v="4"/>
    <n v="20.9849"/>
    <s v="Frederick"/>
    <s v="No instructions needed"/>
  </r>
  <r>
    <n v="248"/>
    <n v="198"/>
    <n v="68"/>
    <s v="Murphy"/>
    <x v="0"/>
    <s v="Yorkshire Terrier"/>
    <s v="01/05/2023"/>
    <s v="NT05"/>
    <x v="7"/>
    <n v="529.94899999999996"/>
    <s v="Rockville"/>
    <s v="No instructions needed"/>
  </r>
  <r>
    <n v="249"/>
    <n v="3"/>
    <n v="124"/>
    <s v="Nala"/>
    <x v="1"/>
    <s v="Labrador Retriever"/>
    <s v="07/12/2023"/>
    <s v="SUR04"/>
    <x v="0"/>
    <n v="-12.8192"/>
    <s v="Rockville"/>
    <s v="Needs TGH instructions"/>
  </r>
  <r>
    <n v="250"/>
    <n v="95"/>
    <n v="119"/>
    <s v="Harley"/>
    <x v="0"/>
    <s v="Chihuahua"/>
    <s v="09/11/2023"/>
    <s v="VAC01"/>
    <x v="5"/>
    <n v="709.1848"/>
    <s v="Baltimore"/>
    <s v="No instructions needed"/>
  </r>
  <r>
    <n v="251"/>
    <n v="135"/>
    <n v="93"/>
    <s v="Shadow"/>
    <x v="0"/>
    <s v="Great Dane"/>
    <s v="07/18/2023"/>
    <s v="SUR04"/>
    <x v="0"/>
    <n v="937.99689999999998"/>
    <s v="Frederick"/>
    <s v="Needs TGH instructions"/>
  </r>
  <r>
    <n v="252"/>
    <n v="167"/>
    <n v="29"/>
    <s v="Blue"/>
    <x v="1"/>
    <s v="Sphynx"/>
    <s v="08/29/2023"/>
    <s v="BW07"/>
    <x v="2"/>
    <n v="134.14410000000001"/>
    <s v="Frederick"/>
    <s v="No instructions needed"/>
  </r>
  <r>
    <n v="253"/>
    <n v="45"/>
    <n v="75"/>
    <s v="Chloe"/>
    <x v="0"/>
    <s v="Russian Blue"/>
    <s v="09/24/2023"/>
    <s v="CHK03"/>
    <x v="6"/>
    <n v="55.731499999999997"/>
    <s v="Baltimore"/>
    <s v="No instructions needed"/>
  </r>
  <r>
    <n v="254"/>
    <n v="68"/>
    <n v="96"/>
    <s v="Zoey"/>
    <x v="0"/>
    <s v="Siberian Husky"/>
    <s v="08/21/2023"/>
    <s v="VAC01"/>
    <x v="5"/>
    <n v="399.0763"/>
    <s v="Rockville"/>
    <s v="No instructions needed"/>
  </r>
  <r>
    <n v="255"/>
    <n v="21"/>
    <n v="70"/>
    <s v="Tucker"/>
    <x v="0"/>
    <s v="Sphynx"/>
    <s v="04/05/2023"/>
    <s v="DEN02"/>
    <x v="3"/>
    <n v="848.01750000000004"/>
    <s v="Baltimore"/>
    <s v="No instructions needed"/>
  </r>
  <r>
    <n v="256"/>
    <n v="22"/>
    <n v="92"/>
    <s v="Sadie"/>
    <x v="0"/>
    <s v="Rottweiler"/>
    <s v="02/22/2023"/>
    <s v="VAC01"/>
    <x v="5"/>
    <n v="703.55240000000003"/>
    <s v="Frederick"/>
    <s v="No instructions needed"/>
  </r>
  <r>
    <n v="257"/>
    <n v="1"/>
    <n v="12"/>
    <s v="Leo"/>
    <x v="0"/>
    <s v="Poodle"/>
    <s v="07/10/2023"/>
    <s v="BW07"/>
    <x v="2"/>
    <n v="768.99019999999996"/>
    <s v="Baltimore"/>
    <s v="No instructions needed"/>
  </r>
  <r>
    <n v="258"/>
    <n v="85"/>
    <n v="143"/>
    <s v="Simba"/>
    <x v="0"/>
    <s v="Rottweiler"/>
    <s v="06/18/2023"/>
    <s v="CHK03"/>
    <x v="6"/>
    <n v="204.3784"/>
    <s v="Frederick"/>
    <s v="No instructions needed"/>
  </r>
  <r>
    <n v="259"/>
    <n v="9"/>
    <n v="135"/>
    <s v="Blue"/>
    <x v="1"/>
    <s v="Russian Blue"/>
    <s v="02/09/2023"/>
    <s v="RAD08"/>
    <x v="4"/>
    <n v="981.23979999999995"/>
    <s v="Rockville"/>
    <s v="No instructions needed"/>
  </r>
  <r>
    <n v="260"/>
    <n v="64"/>
    <n v="114"/>
    <s v="Milo"/>
    <x v="0"/>
    <s v="Great Dane"/>
    <s v="11/29/2023"/>
    <s v="NT05"/>
    <x v="7"/>
    <n v="756.8836"/>
    <s v="Baltimore"/>
    <s v="No instructions needed"/>
  </r>
  <r>
    <n v="261"/>
    <n v="200"/>
    <n v="18"/>
    <s v="Simba"/>
    <x v="1"/>
    <s v="Ragdoll"/>
    <s v="06/30/2023"/>
    <s v="CHK03"/>
    <x v="6"/>
    <n v="61.8001"/>
    <s v="Frederick"/>
    <s v="No instructions needed"/>
  </r>
  <r>
    <n v="262"/>
    <n v="127"/>
    <n v="68"/>
    <s v="Rosie"/>
    <x v="1"/>
    <s v="Great Dane"/>
    <s v="06/04/2023"/>
    <s v="BW07"/>
    <x v="2"/>
    <n v="702.53989999999999"/>
    <s v="Frederick"/>
    <s v="No instructions needed"/>
  </r>
  <r>
    <n v="263"/>
    <n v="87"/>
    <n v="31"/>
    <s v="Oreo"/>
    <x v="0"/>
    <s v="Golden Retriever"/>
    <s v="10/21/2023"/>
    <s v="NT05"/>
    <x v="7"/>
    <n v="-7.5829000000000004"/>
    <s v="Frederick"/>
    <s v="No instructions needed"/>
  </r>
  <r>
    <n v="264"/>
    <n v="54"/>
    <n v="15"/>
    <s v="Moose"/>
    <x v="1"/>
    <s v="Australian Shepherd"/>
    <s v="08/25/2023"/>
    <s v="SUR04"/>
    <x v="0"/>
    <n v="151.87129999999999"/>
    <s v="Baltimore"/>
    <s v="Needs TGH instructions"/>
  </r>
  <r>
    <n v="265"/>
    <n v="195"/>
    <n v="49"/>
    <s v="Atlas"/>
    <x v="1"/>
    <s v="German Shepherd"/>
    <s v="07/09/2023"/>
    <s v="SUR04"/>
    <x v="0"/>
    <n v="3.4083999999999999"/>
    <s v="Baltimore"/>
    <s v="Needs TGH instructions"/>
  </r>
  <r>
    <n v="266"/>
    <n v="40"/>
    <n v="34"/>
    <s v="Zoey"/>
    <x v="1"/>
    <s v="British Shorthair"/>
    <s v="08/04/2023"/>
    <s v="EM06"/>
    <x v="1"/>
    <n v="941.65480000000002"/>
    <s v="Frederick"/>
    <s v="No instructions needed"/>
  </r>
  <r>
    <n v="267"/>
    <n v="93"/>
    <n v="121"/>
    <s v="Stella"/>
    <x v="0"/>
    <s v="Doberman Pinscher"/>
    <s v="03/03/2023"/>
    <s v="SUR04"/>
    <x v="0"/>
    <n v="210.39160000000001"/>
    <s v="Frederick"/>
    <s v="Needs TGH instructions"/>
  </r>
  <r>
    <n v="268"/>
    <n v="185"/>
    <n v="116"/>
    <s v="Pepper"/>
    <x v="0"/>
    <s v="Poodle"/>
    <s v="05/15/2023"/>
    <s v="SUR04"/>
    <x v="0"/>
    <n v="500.19130000000001"/>
    <s v="Frederick"/>
    <s v="Needs TGH instructions"/>
  </r>
  <r>
    <n v="269"/>
    <n v="131"/>
    <n v="89"/>
    <s v="Blue"/>
    <x v="0"/>
    <s v="Maine Coon"/>
    <s v="05/14/2023"/>
    <s v="SUR04"/>
    <x v="0"/>
    <n v="623.41480000000001"/>
    <s v="Baltimore"/>
    <s v="Needs TGH instructions"/>
  </r>
  <r>
    <n v="270"/>
    <n v="31"/>
    <n v="38"/>
    <s v="Bentley"/>
    <x v="1"/>
    <s v="Labrador Retriever"/>
    <s v="12/04/2023"/>
    <s v="DEN02"/>
    <x v="3"/>
    <n v="835.18650000000002"/>
    <s v="Rockville"/>
    <s v="No instructions needed"/>
  </r>
  <r>
    <n v="271"/>
    <n v="56"/>
    <n v="71"/>
    <s v="Penny"/>
    <x v="0"/>
    <s v="Yorkshire Terrier"/>
    <s v="08/27/2023"/>
    <s v="EM06"/>
    <x v="1"/>
    <n v="652.3578"/>
    <s v="Rockville"/>
    <s v="No instructions needed"/>
  </r>
  <r>
    <n v="272"/>
    <n v="135"/>
    <n v="135"/>
    <s v="Ruby"/>
    <x v="1"/>
    <s v="Border Collie"/>
    <s v="01/24/2023"/>
    <s v="BW07"/>
    <x v="2"/>
    <n v="833.65060000000005"/>
    <s v="Frederick"/>
    <s v="No instructions needed"/>
  </r>
  <r>
    <n v="273"/>
    <n v="19"/>
    <n v="61"/>
    <s v="Ace"/>
    <x v="0"/>
    <s v="Australian Shepherd"/>
    <s v="03/12/2023"/>
    <s v="EM06"/>
    <x v="1"/>
    <n v="864.29219999999998"/>
    <s v="Baltimore"/>
    <s v="No instructions needed"/>
  </r>
  <r>
    <n v="274"/>
    <n v="194"/>
    <n v="149"/>
    <s v="Finn"/>
    <x v="0"/>
    <s v="Labrador Retriever"/>
    <s v="04/13/2023"/>
    <s v="RAD08"/>
    <x v="4"/>
    <n v="937.99369999999999"/>
    <s v="Frederick"/>
    <s v="No instructions needed"/>
  </r>
  <r>
    <n v="275"/>
    <n v="107"/>
    <n v="12"/>
    <s v="Ruby"/>
    <x v="0"/>
    <s v="Maine Coon"/>
    <s v="04/18/2023"/>
    <s v="EM06"/>
    <x v="1"/>
    <n v="-190.23249999999999"/>
    <s v="Frederick"/>
    <s v="No instructions needed"/>
  </r>
  <r>
    <n v="276"/>
    <n v="159"/>
    <n v="64"/>
    <s v="Bear"/>
    <x v="0"/>
    <s v="Persian"/>
    <s v="07/02/2023"/>
    <s v="DEN02"/>
    <x v="3"/>
    <n v="547.42399999999998"/>
    <s v="Rockville"/>
    <s v="No instructions needed"/>
  </r>
  <r>
    <n v="277"/>
    <n v="147"/>
    <n v="75"/>
    <s v="Cooper"/>
    <x v="1"/>
    <s v="Ragdoll"/>
    <s v="04/01/2023"/>
    <s v="DEN02"/>
    <x v="3"/>
    <n v="599.75210000000004"/>
    <s v="Rockville"/>
    <s v="No instructions needed"/>
  </r>
  <r>
    <n v="278"/>
    <n v="84"/>
    <n v="150"/>
    <s v="Bear"/>
    <x v="1"/>
    <s v="Siamese"/>
    <s v="01/15/2023"/>
    <s v="BW07"/>
    <x v="2"/>
    <n v="201.33260000000001"/>
    <s v="Frederick"/>
    <s v="No instructions needed"/>
  </r>
  <r>
    <n v="279"/>
    <n v="192"/>
    <n v="33"/>
    <s v="Pepper"/>
    <x v="0"/>
    <s v="Maine Coon"/>
    <s v="07/11/2023"/>
    <s v="SUR04"/>
    <x v="0"/>
    <n v="796.90470000000005"/>
    <s v="Rockville"/>
    <s v="Needs TGH instructions"/>
  </r>
  <r>
    <n v="280"/>
    <n v="190"/>
    <n v="96"/>
    <s v="Ace"/>
    <x v="0"/>
    <s v="Border Collie"/>
    <s v="12/14/2023"/>
    <s v="SUR04"/>
    <x v="0"/>
    <n v="218.9503"/>
    <s v="Frederick"/>
    <s v="Needs TGH instructions"/>
  </r>
  <r>
    <n v="281"/>
    <n v="80"/>
    <n v="36"/>
    <s v="Scout"/>
    <x v="1"/>
    <s v="Siamese"/>
    <s v="02/23/2023"/>
    <s v="VAC01"/>
    <x v="5"/>
    <n v="187.49449999999999"/>
    <s v="Frederick"/>
    <s v="No instructions needed"/>
  </r>
  <r>
    <n v="282"/>
    <n v="32"/>
    <n v="30"/>
    <s v="Harley"/>
    <x v="1"/>
    <s v="Yorkshire Terrier"/>
    <s v="01/14/2023"/>
    <s v="NT05"/>
    <x v="7"/>
    <n v="156.34610000000001"/>
    <s v="Baltimore"/>
    <s v="No instructions needed"/>
  </r>
  <r>
    <n v="283"/>
    <n v="160"/>
    <n v="87"/>
    <s v="Simba"/>
    <x v="1"/>
    <s v="Sphynx"/>
    <s v="04/21/2023"/>
    <s v="BW07"/>
    <x v="2"/>
    <n v="818.17679999999996"/>
    <s v="Frederick"/>
    <s v="No instructions needed"/>
  </r>
  <r>
    <n v="284"/>
    <n v="165"/>
    <n v="24"/>
    <s v="Leo"/>
    <x v="1"/>
    <s v="Ragdoll"/>
    <s v="11/03/2023"/>
    <s v="CHK03"/>
    <x v="6"/>
    <n v="321.07479999999998"/>
    <s v="Frederick"/>
    <s v="No instructions needed"/>
  </r>
  <r>
    <n v="285"/>
    <n v="167"/>
    <n v="83"/>
    <s v="Simba"/>
    <x v="1"/>
    <s v="Siamese"/>
    <s v="03/20/2023"/>
    <s v="SUR04"/>
    <x v="0"/>
    <n v="37.183700000000002"/>
    <s v="Rockville"/>
    <s v="Needs TGH instructions"/>
  </r>
  <r>
    <n v="286"/>
    <n v="15"/>
    <n v="138"/>
    <s v="Jax"/>
    <x v="1"/>
    <s v="Boston Terrier"/>
    <s v="05/30/2023"/>
    <s v="EM06"/>
    <x v="1"/>
    <n v="-141.22739999999999"/>
    <s v="Rockville"/>
    <s v="No instructions needed"/>
  </r>
  <r>
    <n v="287"/>
    <n v="33"/>
    <n v="99"/>
    <s v="Bailey"/>
    <x v="1"/>
    <s v="Maine Coon"/>
    <s v="10/23/2023"/>
    <s v="CHK03"/>
    <x v="6"/>
    <n v="181.8212"/>
    <s v="Baltimore"/>
    <s v="No instructions needed"/>
  </r>
  <r>
    <n v="288"/>
    <n v="105"/>
    <n v="35"/>
    <s v="Bailey"/>
    <x v="1"/>
    <s v="Doberman Pinscher"/>
    <s v="09/16/2023"/>
    <s v="SUR04"/>
    <x v="0"/>
    <n v="192.07159999999999"/>
    <s v="Baltimore"/>
    <s v="Needs TGH instructions"/>
  </r>
  <r>
    <n v="289"/>
    <n v="2"/>
    <n v="30"/>
    <s v="Penny"/>
    <x v="1"/>
    <s v="Siberian Husky"/>
    <s v="05/06/2023"/>
    <s v="CHK03"/>
    <x v="6"/>
    <n v="996.05380000000002"/>
    <s v="Frederick"/>
    <s v="No instructions needed"/>
  </r>
  <r>
    <n v="290"/>
    <n v="59"/>
    <n v="141"/>
    <s v="Ruby"/>
    <x v="1"/>
    <s v="Dachshund"/>
    <s v="08/26/2023"/>
    <s v="BW07"/>
    <x v="2"/>
    <n v="531.97080000000005"/>
    <s v="Frederick"/>
    <s v="No instructions needed"/>
  </r>
  <r>
    <n v="291"/>
    <n v="40"/>
    <n v="136"/>
    <s v="Bear"/>
    <x v="0"/>
    <s v="Ragdoll"/>
    <s v="12/08/2023"/>
    <s v="DEN02"/>
    <x v="3"/>
    <n v="-95.172700000000006"/>
    <s v="Rockville"/>
    <s v="No instructions needed"/>
  </r>
  <r>
    <n v="292"/>
    <n v="172"/>
    <n v="55"/>
    <s v="Rocky"/>
    <x v="1"/>
    <s v="Border Collie"/>
    <s v="02/19/2023"/>
    <s v="RAD08"/>
    <x v="4"/>
    <n v="367.21850000000001"/>
    <s v="Baltimore"/>
    <s v="No instructions needed"/>
  </r>
  <r>
    <n v="293"/>
    <n v="189"/>
    <n v="3"/>
    <s v="Zoey"/>
    <x v="0"/>
    <s v="Dachshund"/>
    <s v="07/19/2023"/>
    <s v="VAC01"/>
    <x v="5"/>
    <n v="898.85929999999996"/>
    <s v="Frederick"/>
    <s v="No instructions needed"/>
  </r>
  <r>
    <n v="294"/>
    <n v="66"/>
    <n v="3"/>
    <s v="Harley"/>
    <x v="1"/>
    <s v="Bulldog"/>
    <s v="05/19/2023"/>
    <s v="VAC01"/>
    <x v="5"/>
    <n v="-213.45570000000001"/>
    <s v="Frederick"/>
    <s v="No instructions needed"/>
  </r>
  <r>
    <n v="295"/>
    <n v="190"/>
    <n v="65"/>
    <s v="Max"/>
    <x v="1"/>
    <s v="Golden Retriever"/>
    <s v="12/18/2023"/>
    <s v="CHK03"/>
    <x v="6"/>
    <n v="336.76499999999999"/>
    <s v="Rockville"/>
    <s v="No instructions needed"/>
  </r>
  <r>
    <n v="296"/>
    <n v="90"/>
    <n v="25"/>
    <s v="Oliver"/>
    <x v="1"/>
    <s v="Great Dane"/>
    <s v="09/13/2023"/>
    <s v="EM06"/>
    <x v="1"/>
    <n v="678.88459999999998"/>
    <s v="Frederick"/>
    <s v="No instructions needed"/>
  </r>
  <r>
    <n v="297"/>
    <n v="45"/>
    <n v="54"/>
    <s v="Harley"/>
    <x v="0"/>
    <s v="German Shepherd"/>
    <s v="06/08/2023"/>
    <s v="NT05"/>
    <x v="7"/>
    <n v="910.04070000000002"/>
    <s v="Frederick"/>
    <s v="No instructions needed"/>
  </r>
  <r>
    <n v="298"/>
    <n v="63"/>
    <n v="31"/>
    <s v="Bella"/>
    <x v="1"/>
    <s v="Boxer"/>
    <s v="11/15/2023"/>
    <s v="CHK03"/>
    <x v="6"/>
    <n v="390.45460000000003"/>
    <s v="Baltimore"/>
    <s v="No instructions needed"/>
  </r>
  <r>
    <n v="299"/>
    <n v="55"/>
    <n v="54"/>
    <s v="Finn"/>
    <x v="0"/>
    <s v="Great Dane"/>
    <s v="02/11/2023"/>
    <s v="SUR04"/>
    <x v="0"/>
    <n v="174.50280000000001"/>
    <s v="Baltimore"/>
    <s v="Needs TGH instructions"/>
  </r>
  <r>
    <n v="300"/>
    <n v="154"/>
    <n v="59"/>
    <s v="Zeus"/>
    <x v="0"/>
    <s v="Great Dane"/>
    <s v="09/17/2023"/>
    <s v="CHK03"/>
    <x v="6"/>
    <n v="759.76919999999996"/>
    <s v="Rockville"/>
    <s v="No instructions needed"/>
  </r>
  <r>
    <n v="301"/>
    <n v="37"/>
    <n v="78"/>
    <s v="Blue"/>
    <x v="1"/>
    <s v="Sphynx"/>
    <s v="08/23/2023"/>
    <s v="DEN02"/>
    <x v="3"/>
    <n v="730.35530000000006"/>
    <s v="Rockville"/>
    <s v="No instructions needed"/>
  </r>
  <r>
    <n v="302"/>
    <n v="40"/>
    <n v="48"/>
    <s v="Thor"/>
    <x v="1"/>
    <s v="Ragdoll"/>
    <s v="02/06/2023"/>
    <s v="BW07"/>
    <x v="2"/>
    <n v="207.572"/>
    <s v="Rockville"/>
    <s v="No instructions needed"/>
  </r>
  <r>
    <n v="303"/>
    <n v="128"/>
    <n v="21"/>
    <s v="Zoey"/>
    <x v="1"/>
    <s v="Golden Retriever"/>
    <s v="08/31/2023"/>
    <s v="BW07"/>
    <x v="2"/>
    <n v="564.83489999999995"/>
    <s v="Frederick"/>
    <s v="No instructions needed"/>
  </r>
  <r>
    <n v="304"/>
    <n v="147"/>
    <n v="80"/>
    <s v="Harley"/>
    <x v="1"/>
    <s v="Australian Shepherd"/>
    <s v="08/03/2023"/>
    <s v="RAD08"/>
    <x v="4"/>
    <n v="673.06669999999997"/>
    <s v="Frederick"/>
    <s v="No instructions needed"/>
  </r>
  <r>
    <n v="305"/>
    <n v="161"/>
    <n v="2"/>
    <s v="Tucker"/>
    <x v="0"/>
    <s v="Cocker Spaniel"/>
    <s v="09/04/2023"/>
    <s v="NT05"/>
    <x v="7"/>
    <n v="482.56450000000001"/>
    <s v="Frederick"/>
    <s v="No instructions needed"/>
  </r>
  <r>
    <n v="306"/>
    <n v="72"/>
    <n v="143"/>
    <s v="Ruby"/>
    <x v="1"/>
    <s v="Persian"/>
    <s v="08/04/2023"/>
    <s v="NT05"/>
    <x v="7"/>
    <n v="-275.05759999999998"/>
    <s v="Frederick"/>
    <s v="No instructions needed"/>
  </r>
  <r>
    <n v="307"/>
    <n v="98"/>
    <n v="133"/>
    <s v="Ellie"/>
    <x v="1"/>
    <s v="Sphynx"/>
    <s v="05/20/2023"/>
    <s v="SUR04"/>
    <x v="0"/>
    <n v="898.55050000000006"/>
    <s v="Frederick"/>
    <s v="Needs TGH instructions"/>
  </r>
  <r>
    <n v="308"/>
    <n v="23"/>
    <n v="135"/>
    <s v="Duke"/>
    <x v="1"/>
    <s v="Siberian Husky"/>
    <s v="01/28/2023"/>
    <s v="RAD08"/>
    <x v="4"/>
    <n v="110.95010000000001"/>
    <s v="Baltimore"/>
    <s v="No instructions needed"/>
  </r>
  <r>
    <n v="309"/>
    <n v="96"/>
    <n v="83"/>
    <s v="Shadow"/>
    <x v="0"/>
    <s v="Shih Tzu"/>
    <s v="10/27/2023"/>
    <s v="RAD08"/>
    <x v="4"/>
    <n v="965.85090000000002"/>
    <s v="Rockville"/>
    <s v="No instructions needed"/>
  </r>
  <r>
    <n v="310"/>
    <n v="192"/>
    <n v="139"/>
    <s v="Loki"/>
    <x v="0"/>
    <s v="Border Collie"/>
    <s v="01/19/2023"/>
    <s v="DEN02"/>
    <x v="3"/>
    <n v="953.96410000000003"/>
    <s v="Baltimore"/>
    <s v="No instructions needed"/>
  </r>
  <r>
    <n v="311"/>
    <n v="43"/>
    <n v="147"/>
    <s v="Milo"/>
    <x v="1"/>
    <s v="Persian"/>
    <s v="02/26/2023"/>
    <s v="CHK03"/>
    <x v="6"/>
    <n v="355.37060000000002"/>
    <s v="Frederick"/>
    <s v="No instructions needed"/>
  </r>
  <r>
    <n v="312"/>
    <n v="193"/>
    <n v="5"/>
    <s v="Bailey"/>
    <x v="0"/>
    <s v="Sphynx"/>
    <s v="10/31/2023"/>
    <s v="SUR04"/>
    <x v="0"/>
    <n v="976.36220000000003"/>
    <s v="Baltimore"/>
    <s v="Needs TGH instructions"/>
  </r>
  <r>
    <n v="313"/>
    <n v="85"/>
    <n v="92"/>
    <s v="Tucker"/>
    <x v="1"/>
    <s v="Bulldog"/>
    <s v="09/14/2023"/>
    <s v="NT05"/>
    <x v="7"/>
    <n v="543.1345"/>
    <s v="Frederick"/>
    <s v="No instructions needed"/>
  </r>
  <r>
    <n v="314"/>
    <n v="125"/>
    <n v="46"/>
    <s v="Tank"/>
    <x v="1"/>
    <s v="Dachshund"/>
    <s v="06/13/2023"/>
    <s v="SUR04"/>
    <x v="0"/>
    <n v="557.70889999999997"/>
    <s v="Frederick"/>
    <s v="Needs TGH instructions"/>
  </r>
  <r>
    <n v="315"/>
    <n v="98"/>
    <n v="18"/>
    <s v="Ruby"/>
    <x v="1"/>
    <s v="Ragdoll"/>
    <s v="06/29/2023"/>
    <s v="RAD08"/>
    <x v="4"/>
    <n v="229.7696"/>
    <s v="Baltimore"/>
    <s v="No instructions needed"/>
  </r>
  <r>
    <n v="316"/>
    <n v="117"/>
    <n v="36"/>
    <s v="Remy"/>
    <x v="1"/>
    <s v="Labrador Retriever"/>
    <s v="06/18/2023"/>
    <s v="BW07"/>
    <x v="2"/>
    <n v="557.04489999999998"/>
    <s v="Frederick"/>
    <s v="No instructions needed"/>
  </r>
  <r>
    <n v="317"/>
    <n v="143"/>
    <n v="83"/>
    <s v="Jax"/>
    <x v="1"/>
    <s v="Poodle"/>
    <s v="05/26/2023"/>
    <s v="VAC01"/>
    <x v="5"/>
    <n v="-278.596"/>
    <s v="Frederick"/>
    <s v="No instructions needed"/>
  </r>
  <r>
    <n v="318"/>
    <n v="30"/>
    <n v="121"/>
    <s v="Winston"/>
    <x v="0"/>
    <s v="Dachshund"/>
    <s v="10/10/2023"/>
    <s v="DEN02"/>
    <x v="3"/>
    <n v="353.97919999999999"/>
    <s v="Baltimore"/>
    <s v="No instructions needed"/>
  </r>
  <r>
    <n v="319"/>
    <n v="119"/>
    <n v="135"/>
    <s v="Stella"/>
    <x v="0"/>
    <s v="Scottish Fold"/>
    <s v="08/23/2023"/>
    <s v="BW07"/>
    <x v="2"/>
    <n v="433.38900000000001"/>
    <s v="Rockville"/>
    <s v="No instructions needed"/>
  </r>
  <r>
    <n v="320"/>
    <n v="138"/>
    <n v="20"/>
    <s v="Rocky"/>
    <x v="1"/>
    <s v="Siberian Husky"/>
    <s v="12/03/2023"/>
    <s v="RAD08"/>
    <x v="4"/>
    <n v="-151.85919999999999"/>
    <s v="Frederick"/>
    <s v="No instructions needed"/>
  </r>
  <r>
    <n v="321"/>
    <n v="17"/>
    <n v="96"/>
    <s v="Penny"/>
    <x v="0"/>
    <s v="Sphynx"/>
    <s v="06/26/2023"/>
    <s v="RAD08"/>
    <x v="4"/>
    <n v="-1.8952"/>
    <s v="Rockville"/>
    <s v="No instructions needed"/>
  </r>
  <r>
    <n v="322"/>
    <n v="157"/>
    <n v="25"/>
    <s v="Jax"/>
    <x v="0"/>
    <s v="Sphynx"/>
    <s v="10/10/2023"/>
    <s v="EM06"/>
    <x v="1"/>
    <n v="974.86220000000003"/>
    <s v="Frederick"/>
    <s v="No instructions needed"/>
  </r>
  <r>
    <n v="323"/>
    <n v="16"/>
    <n v="79"/>
    <s v="Riley"/>
    <x v="1"/>
    <s v="Russian Blue"/>
    <s v="09/02/2023"/>
    <s v="NT05"/>
    <x v="7"/>
    <n v="76.698400000000007"/>
    <s v="Baltimore"/>
    <s v="No instructions needed"/>
  </r>
  <r>
    <n v="324"/>
    <n v="10"/>
    <n v="133"/>
    <s v="Tank"/>
    <x v="1"/>
    <s v="Australian Shepherd"/>
    <s v="11/22/2023"/>
    <s v="SUR04"/>
    <x v="0"/>
    <n v="103.9965"/>
    <s v="Rockville"/>
    <s v="Needs TGH instructions"/>
  </r>
  <r>
    <n v="325"/>
    <n v="144"/>
    <n v="31"/>
    <s v="Nova"/>
    <x v="1"/>
    <s v="Boston Terrier"/>
    <s v="04/18/2023"/>
    <s v="DEN02"/>
    <x v="3"/>
    <n v="836.17790000000002"/>
    <s v="Frederick"/>
    <s v="No instructions needed"/>
  </r>
  <r>
    <n v="326"/>
    <n v="38"/>
    <n v="102"/>
    <s v="Rosie"/>
    <x v="0"/>
    <s v="Bengal"/>
    <s v="04/10/2023"/>
    <s v="BW07"/>
    <x v="2"/>
    <n v="812.47529999999995"/>
    <s v="Frederick"/>
    <s v="No instructions needed"/>
  </r>
  <r>
    <n v="327"/>
    <n v="99"/>
    <n v="127"/>
    <s v="Rocky"/>
    <x v="1"/>
    <s v="Chihuahua"/>
    <s v="03/30/2023"/>
    <s v="RAD08"/>
    <x v="4"/>
    <n v="501.78390000000002"/>
    <s v="Baltimore"/>
    <s v="No instructions needed"/>
  </r>
  <r>
    <n v="328"/>
    <n v="139"/>
    <n v="45"/>
    <s v="Blue"/>
    <x v="0"/>
    <s v="Boxer"/>
    <s v="11/20/2023"/>
    <s v="CHK03"/>
    <x v="6"/>
    <n v="-116.2628"/>
    <s v="Frederick"/>
    <s v="No instructions needed"/>
  </r>
  <r>
    <n v="329"/>
    <n v="27"/>
    <n v="142"/>
    <s v="Max"/>
    <x v="0"/>
    <s v="Golden Retriever"/>
    <s v="06/18/2023"/>
    <s v="EM06"/>
    <x v="1"/>
    <n v="200.91300000000001"/>
    <s v="Frederick"/>
    <s v="No instructions needed"/>
  </r>
  <r>
    <n v="330"/>
    <n v="190"/>
    <n v="110"/>
    <s v="Tucker"/>
    <x v="1"/>
    <s v="Boxer"/>
    <s v="03/09/2023"/>
    <s v="SUR04"/>
    <x v="0"/>
    <n v="532.35450000000003"/>
    <s v="Rockville"/>
    <s v="Needs TGH instructions"/>
  </r>
  <r>
    <n v="331"/>
    <n v="79"/>
    <n v="37"/>
    <s v="Leo"/>
    <x v="1"/>
    <s v="Shih Tzu"/>
    <s v="02/26/2023"/>
    <s v="RAD08"/>
    <x v="4"/>
    <n v="648.24480000000005"/>
    <s v="Frederick"/>
    <s v="No instructions needed"/>
  </r>
  <r>
    <n v="332"/>
    <n v="191"/>
    <n v="107"/>
    <s v="Bailey"/>
    <x v="0"/>
    <s v="Bulldog"/>
    <s v="02/04/2023"/>
    <s v="DEN02"/>
    <x v="3"/>
    <n v="358.57369999999997"/>
    <s v="Baltimore"/>
    <s v="No instructions needed"/>
  </r>
  <r>
    <n v="333"/>
    <n v="175"/>
    <n v="28"/>
    <s v="Oreo"/>
    <x v="0"/>
    <s v="Scottish Fold"/>
    <s v="11/27/2023"/>
    <s v="BW07"/>
    <x v="2"/>
    <n v="574.57420000000002"/>
    <s v="Frederick"/>
    <s v="No instructions needed"/>
  </r>
  <r>
    <n v="334"/>
    <n v="26"/>
    <n v="81"/>
    <s v="Zeus"/>
    <x v="0"/>
    <s v="Boxer"/>
    <s v="12/26/2023"/>
    <s v="EM06"/>
    <x v="1"/>
    <n v="387.77409999999998"/>
    <s v="Baltimore"/>
    <s v="No instructions needed"/>
  </r>
  <r>
    <n v="335"/>
    <n v="65"/>
    <n v="103"/>
    <s v="Loki"/>
    <x v="0"/>
    <s v="Labrador Retriever"/>
    <s v="01/19/2023"/>
    <s v="EM06"/>
    <x v="1"/>
    <n v="939.76189999999997"/>
    <s v="Frederick"/>
    <s v="No instructions needed"/>
  </r>
  <r>
    <n v="336"/>
    <n v="19"/>
    <n v="81"/>
    <s v="Thor"/>
    <x v="0"/>
    <s v="Siamese"/>
    <s v="08/06/2023"/>
    <s v="EM06"/>
    <x v="1"/>
    <n v="569.54459999999995"/>
    <s v="Baltimore"/>
    <s v="No instructions needed"/>
  </r>
  <r>
    <n v="337"/>
    <n v="119"/>
    <n v="51"/>
    <s v="Rocky"/>
    <x v="1"/>
    <s v="Australian Shepherd"/>
    <s v="06/13/2023"/>
    <s v="RAD08"/>
    <x v="4"/>
    <n v="833.15509999999995"/>
    <s v="Frederick"/>
    <s v="No instructions needed"/>
  </r>
  <r>
    <n v="338"/>
    <n v="28"/>
    <n v="71"/>
    <s v="Rocky"/>
    <x v="0"/>
    <s v="Bulldog"/>
    <s v="08/14/2023"/>
    <s v="DEN02"/>
    <x v="3"/>
    <n v="947.57910000000004"/>
    <s v="Frederick"/>
    <s v="No instructions needed"/>
  </r>
  <r>
    <n v="339"/>
    <n v="22"/>
    <n v="143"/>
    <s v="Atlas"/>
    <x v="0"/>
    <s v="Golden Retriever"/>
    <s v="08/10/2023"/>
    <s v="DEN02"/>
    <x v="3"/>
    <n v="-194.9599"/>
    <s v="Frederick"/>
    <s v="No instructions needed"/>
  </r>
  <r>
    <n v="340"/>
    <n v="189"/>
    <n v="103"/>
    <s v="Thor"/>
    <x v="1"/>
    <s v="Siamese"/>
    <s v="01/26/2023"/>
    <s v="SUR04"/>
    <x v="0"/>
    <n v="857.34169999999995"/>
    <s v="Frederick"/>
    <s v="Needs TGH instructions"/>
  </r>
  <r>
    <n v="341"/>
    <n v="48"/>
    <n v="46"/>
    <s v="Chloe"/>
    <x v="0"/>
    <s v="Boston Terrier"/>
    <s v="07/15/2023"/>
    <s v="DEN02"/>
    <x v="3"/>
    <n v="967.34190000000001"/>
    <s v="Rockville"/>
    <s v="No instructions needed"/>
  </r>
  <r>
    <n v="342"/>
    <n v="40"/>
    <n v="73"/>
    <s v="Zoey"/>
    <x v="0"/>
    <s v="Chihuahua"/>
    <s v="10/09/2023"/>
    <s v="DEN02"/>
    <x v="3"/>
    <n v="5.3227000000000002"/>
    <s v="Baltimore"/>
    <s v="No instructions needed"/>
  </r>
  <r>
    <n v="343"/>
    <n v="99"/>
    <n v="101"/>
    <s v="Nala"/>
    <x v="1"/>
    <s v="Bengal"/>
    <s v="03/31/2023"/>
    <s v="CHK03"/>
    <x v="6"/>
    <n v="-44.123600000000003"/>
    <s v="Rockville"/>
    <s v="No instructions needed"/>
  </r>
  <r>
    <n v="344"/>
    <n v="176"/>
    <n v="111"/>
    <s v="Charlie"/>
    <x v="1"/>
    <s v="British Shorthair"/>
    <s v="07/21/2023"/>
    <s v="RAD08"/>
    <x v="4"/>
    <n v="-22.728400000000001"/>
    <s v="Rockville"/>
    <s v="No instructions needed"/>
  </r>
  <r>
    <n v="345"/>
    <n v="182"/>
    <n v="6"/>
    <s v="Ace"/>
    <x v="0"/>
    <s v="Persian"/>
    <s v="11/14/2023"/>
    <s v="DEN02"/>
    <x v="3"/>
    <n v="-89.726699999999994"/>
    <s v="Rockville"/>
    <s v="No instructions needed"/>
  </r>
  <r>
    <n v="346"/>
    <n v="182"/>
    <n v="114"/>
    <s v="Bentley"/>
    <x v="0"/>
    <s v="Siberian Husky"/>
    <s v="05/28/2023"/>
    <s v="NT05"/>
    <x v="7"/>
    <n v="-38.319600000000001"/>
    <s v="Frederick"/>
    <s v="No instructions needed"/>
  </r>
  <r>
    <n v="347"/>
    <n v="136"/>
    <n v="101"/>
    <s v="Simba"/>
    <x v="0"/>
    <s v="Boxer"/>
    <s v="10/31/2023"/>
    <s v="BW07"/>
    <x v="2"/>
    <n v="22.7257"/>
    <s v="Baltimore"/>
    <s v="No instructions needed"/>
  </r>
  <r>
    <n v="348"/>
    <n v="126"/>
    <n v="105"/>
    <s v="Ruby"/>
    <x v="0"/>
    <s v="Dachshund"/>
    <s v="02/15/2023"/>
    <s v="RAD08"/>
    <x v="4"/>
    <n v="448.85390000000001"/>
    <s v="Frederick"/>
    <s v="No instructions needed"/>
  </r>
  <r>
    <n v="349"/>
    <n v="112"/>
    <n v="57"/>
    <s v="Ellie"/>
    <x v="0"/>
    <s v="Chihuahua"/>
    <s v="04/08/2023"/>
    <s v="RAD08"/>
    <x v="4"/>
    <n v="575.71450000000004"/>
    <s v="Frederick"/>
    <s v="No instructions needed"/>
  </r>
  <r>
    <n v="350"/>
    <n v="179"/>
    <n v="58"/>
    <s v="Sadie"/>
    <x v="0"/>
    <s v="Abyssinian"/>
    <s v="01/30/2023"/>
    <s v="NT05"/>
    <x v="7"/>
    <n v="252.13980000000001"/>
    <s v="Rockville"/>
    <s v="No instructions needed"/>
  </r>
  <r>
    <n v="351"/>
    <n v="30"/>
    <n v="38"/>
    <s v="Sadie"/>
    <x v="1"/>
    <s v="Maine Coon"/>
    <s v="02/15/2023"/>
    <s v="SUR04"/>
    <x v="0"/>
    <n v="705.02329999999995"/>
    <s v="Frederick"/>
    <s v="Needs TGH instructions"/>
  </r>
  <r>
    <n v="352"/>
    <n v="197"/>
    <n v="15"/>
    <s v="Bailey"/>
    <x v="0"/>
    <s v="Siamese"/>
    <s v="09/08/2023"/>
    <s v="SUR04"/>
    <x v="0"/>
    <n v="349.93860000000001"/>
    <s v="Frederick"/>
    <s v="Needs TGH instructions"/>
  </r>
  <r>
    <n v="353"/>
    <n v="94"/>
    <n v="119"/>
    <s v="Lucy"/>
    <x v="1"/>
    <s v="French Bulldog"/>
    <s v="04/12/2023"/>
    <s v="SUR04"/>
    <x v="0"/>
    <n v="-154.66380000000001"/>
    <s v="Frederick"/>
    <s v="Needs TGH instructions"/>
  </r>
  <r>
    <n v="354"/>
    <n v="139"/>
    <n v="20"/>
    <s v="Remy"/>
    <x v="0"/>
    <s v="Australian Shepherd"/>
    <s v="03/15/2023"/>
    <s v="EM06"/>
    <x v="1"/>
    <n v="876.29039999999998"/>
    <s v="Frederick"/>
    <s v="No instructions needed"/>
  </r>
  <r>
    <n v="355"/>
    <n v="25"/>
    <n v="110"/>
    <s v="Koda"/>
    <x v="0"/>
    <s v="Boxer"/>
    <s v="03/24/2023"/>
    <s v="RAD08"/>
    <x v="4"/>
    <n v="732.15030000000002"/>
    <s v="Baltimore"/>
    <s v="No instructions needed"/>
  </r>
  <r>
    <n v="356"/>
    <n v="149"/>
    <n v="35"/>
    <s v="Lucy"/>
    <x v="1"/>
    <s v="Dachshund"/>
    <s v="12/14/2023"/>
    <s v="DEN02"/>
    <x v="3"/>
    <n v="-293.40989999999999"/>
    <s v="Frederick"/>
    <s v="No instructions needed"/>
  </r>
  <r>
    <n v="357"/>
    <n v="31"/>
    <n v="18"/>
    <s v="Luna"/>
    <x v="0"/>
    <s v="Beagle"/>
    <s v="09/17/2023"/>
    <s v="RAD08"/>
    <x v="4"/>
    <n v="418.36950000000002"/>
    <s v="Rockville"/>
    <s v="No instructions needed"/>
  </r>
  <r>
    <n v="358"/>
    <n v="138"/>
    <n v="7"/>
    <s v="Tank"/>
    <x v="0"/>
    <s v="Yorkshire Terrier"/>
    <s v="12/26/2023"/>
    <s v="RAD08"/>
    <x v="4"/>
    <n v="-117.49"/>
    <s v="Baltimore"/>
    <s v="No instructions needed"/>
  </r>
  <r>
    <n v="359"/>
    <n v="169"/>
    <n v="86"/>
    <s v="Koda"/>
    <x v="1"/>
    <s v="Sphynx"/>
    <s v="01/13/2023"/>
    <s v="DEN02"/>
    <x v="3"/>
    <n v="932.58219999999994"/>
    <s v="Frederick"/>
    <s v="No instructions needed"/>
  </r>
  <r>
    <n v="360"/>
    <n v="43"/>
    <n v="105"/>
    <s v="Pepper"/>
    <x v="1"/>
    <s v="Poodle"/>
    <s v="11/26/2023"/>
    <s v="CHK03"/>
    <x v="6"/>
    <n v="731.59640000000002"/>
    <s v="Rockville"/>
    <s v="No instructions needed"/>
  </r>
  <r>
    <n v="361"/>
    <n v="36"/>
    <n v="110"/>
    <s v="Nala"/>
    <x v="0"/>
    <s v="Boxer"/>
    <s v="05/14/2023"/>
    <s v="RAD08"/>
    <x v="4"/>
    <n v="-279.35340000000002"/>
    <s v="Frederick"/>
    <s v="No instructions needed"/>
  </r>
  <r>
    <n v="362"/>
    <n v="127"/>
    <n v="10"/>
    <s v="Duke"/>
    <x v="1"/>
    <s v="Australian Shepherd"/>
    <s v="05/13/2023"/>
    <s v="EM06"/>
    <x v="1"/>
    <n v="-167.70580000000001"/>
    <s v="Baltimore"/>
    <s v="No instructions needed"/>
  </r>
  <r>
    <n v="363"/>
    <n v="48"/>
    <n v="47"/>
    <s v="Zoey"/>
    <x v="1"/>
    <s v="Sphynx"/>
    <s v="10/01/2023"/>
    <s v="CHK03"/>
    <x v="6"/>
    <n v="757.41949999999997"/>
    <s v="Baltimore"/>
    <s v="No instructions needed"/>
  </r>
  <r>
    <n v="364"/>
    <n v="181"/>
    <n v="52"/>
    <s v="Loki"/>
    <x v="0"/>
    <s v="Beagle"/>
    <s v="12/04/2023"/>
    <s v="RAD08"/>
    <x v="4"/>
    <n v="-231.5119"/>
    <s v="Frederick"/>
    <s v="No instructions needed"/>
  </r>
  <r>
    <n v="365"/>
    <n v="10"/>
    <n v="41"/>
    <s v="Oreo"/>
    <x v="1"/>
    <s v="Siberian Husky"/>
    <s v="06/24/2023"/>
    <s v="RAD08"/>
    <x v="4"/>
    <n v="820.79459999999995"/>
    <s v="Rockville"/>
    <s v="No instructions needed"/>
  </r>
  <r>
    <n v="366"/>
    <n v="1"/>
    <n v="20"/>
    <s v="Zeus"/>
    <x v="0"/>
    <s v="Chihuahua"/>
    <s v="01/19/2023"/>
    <s v="EM06"/>
    <x v="1"/>
    <n v="-253.34790000000001"/>
    <s v="Frederick"/>
    <s v="No instructions needed"/>
  </r>
  <r>
    <n v="367"/>
    <n v="141"/>
    <n v="64"/>
    <s v="Nova"/>
    <x v="0"/>
    <s v="Maine Coon"/>
    <s v="09/10/2023"/>
    <s v="EM06"/>
    <x v="1"/>
    <n v="-28.445799999999998"/>
    <s v="Rockville"/>
    <s v="No instructions needed"/>
  </r>
  <r>
    <n v="368"/>
    <n v="95"/>
    <n v="95"/>
    <s v="Penny"/>
    <x v="1"/>
    <s v="Australian Shepherd"/>
    <s v="03/14/2023"/>
    <s v="NT05"/>
    <x v="7"/>
    <n v="-230.43950000000001"/>
    <s v="Rockville"/>
    <s v="No instructions needed"/>
  </r>
  <r>
    <n v="369"/>
    <n v="134"/>
    <n v="93"/>
    <s v="Shadow"/>
    <x v="1"/>
    <s v="Doberman Pinscher"/>
    <s v="12/23/2023"/>
    <s v="RAD08"/>
    <x v="4"/>
    <n v="559.65480000000002"/>
    <s v="Rockville"/>
    <s v="No instructions needed"/>
  </r>
  <r>
    <n v="370"/>
    <n v="97"/>
    <n v="110"/>
    <s v="Duke"/>
    <x v="1"/>
    <s v="Sphynx"/>
    <s v="09/06/2023"/>
    <s v="CHK03"/>
    <x v="6"/>
    <n v="-83.119"/>
    <s v="Frederick"/>
    <s v="No instructions needed"/>
  </r>
  <r>
    <n v="371"/>
    <n v="118"/>
    <n v="108"/>
    <s v="Bailey"/>
    <x v="0"/>
    <s v="Boston Terrier"/>
    <s v="11/30/2023"/>
    <s v="SUR04"/>
    <x v="0"/>
    <n v="605.22699999999998"/>
    <s v="Rockville"/>
    <s v="Needs TGH instructions"/>
  </r>
  <r>
    <n v="372"/>
    <n v="132"/>
    <n v="98"/>
    <s v="Koda"/>
    <x v="1"/>
    <s v="Siberian Husky"/>
    <s v="07/16/2023"/>
    <s v="CHK03"/>
    <x v="6"/>
    <n v="891.02890000000002"/>
    <s v="Frederick"/>
    <s v="No instructions needed"/>
  </r>
  <r>
    <n v="373"/>
    <n v="60"/>
    <n v="39"/>
    <s v="Atlas"/>
    <x v="1"/>
    <s v="Siberian Husky"/>
    <s v="07/31/2023"/>
    <s v="BW07"/>
    <x v="2"/>
    <n v="257.0926"/>
    <s v="Baltimore"/>
    <s v="No instructions needed"/>
  </r>
  <r>
    <n v="374"/>
    <n v="107"/>
    <n v="125"/>
    <s v="Tank"/>
    <x v="0"/>
    <s v="Golden Retriever"/>
    <s v="01/11/2023"/>
    <s v="CHK03"/>
    <x v="6"/>
    <n v="-118.1632"/>
    <s v="Baltimore"/>
    <s v="No instructions needed"/>
  </r>
  <r>
    <n v="375"/>
    <n v="174"/>
    <n v="29"/>
    <s v="Tucker"/>
    <x v="1"/>
    <s v="Bengal"/>
    <s v="07/24/2023"/>
    <s v="SUR04"/>
    <x v="0"/>
    <n v="445.35649999999998"/>
    <s v="Frederick"/>
    <s v="Needs TGH instructions"/>
  </r>
  <r>
    <n v="376"/>
    <n v="97"/>
    <n v="12"/>
    <s v="Simba"/>
    <x v="1"/>
    <s v="Boxer"/>
    <s v="05/22/2023"/>
    <s v="RAD08"/>
    <x v="4"/>
    <n v="-269.983"/>
    <s v="Frederick"/>
    <s v="No instructions needed"/>
  </r>
  <r>
    <n v="377"/>
    <n v="48"/>
    <n v="35"/>
    <s v="Oliver"/>
    <x v="1"/>
    <s v="Rottweiler"/>
    <s v="07/04/2023"/>
    <s v="BW07"/>
    <x v="2"/>
    <n v="-50.144599999999997"/>
    <s v="Frederick"/>
    <s v="No instructions needed"/>
  </r>
  <r>
    <n v="378"/>
    <n v="5"/>
    <n v="49"/>
    <s v="Charlie"/>
    <x v="0"/>
    <s v="Persian"/>
    <s v="10/28/2023"/>
    <s v="SUR04"/>
    <x v="0"/>
    <n v="273.90309999999999"/>
    <s v="Frederick"/>
    <s v="Needs TGH instructions"/>
  </r>
  <r>
    <n v="379"/>
    <n v="95"/>
    <n v="12"/>
    <s v="Gizmo"/>
    <x v="0"/>
    <s v="Shih Tzu"/>
    <s v="01/29/2023"/>
    <s v="DEN02"/>
    <x v="3"/>
    <n v="-294.6327"/>
    <s v="Frederick"/>
    <s v="No instructions needed"/>
  </r>
  <r>
    <n v="380"/>
    <n v="19"/>
    <n v="19"/>
    <s v="Duke"/>
    <x v="0"/>
    <s v="Abyssinian"/>
    <s v="11/29/2023"/>
    <s v="DEN02"/>
    <x v="3"/>
    <n v="52.862499999999997"/>
    <s v="Frederick"/>
    <s v="No instructions needed"/>
  </r>
  <r>
    <n v="381"/>
    <n v="133"/>
    <n v="13"/>
    <s v="Nova"/>
    <x v="1"/>
    <s v="Maine Coon"/>
    <s v="09/02/2023"/>
    <s v="DEN02"/>
    <x v="3"/>
    <n v="116.6313"/>
    <s v="Baltimore"/>
    <s v="No instructions needed"/>
  </r>
  <r>
    <n v="382"/>
    <n v="196"/>
    <n v="57"/>
    <s v="Remy"/>
    <x v="0"/>
    <s v="Bulldog"/>
    <s v="08/14/2023"/>
    <s v="SUR04"/>
    <x v="0"/>
    <n v="881.03610000000003"/>
    <s v="Rockville"/>
    <s v="Needs TGH instructions"/>
  </r>
  <r>
    <n v="383"/>
    <n v="144"/>
    <n v="46"/>
    <s v="Ace"/>
    <x v="0"/>
    <s v="Rottweiler"/>
    <s v="05/06/2023"/>
    <s v="SUR04"/>
    <x v="0"/>
    <n v="-75.9696"/>
    <s v="Baltimore"/>
    <s v="Needs TGH instructions"/>
  </r>
  <r>
    <n v="384"/>
    <n v="157"/>
    <n v="110"/>
    <s v="Lucy"/>
    <x v="0"/>
    <s v="Scottish Fold"/>
    <s v="08/12/2023"/>
    <s v="CHK03"/>
    <x v="6"/>
    <n v="806.13829999999996"/>
    <s v="Baltimore"/>
    <s v="No instructions needed"/>
  </r>
  <r>
    <n v="385"/>
    <n v="118"/>
    <n v="146"/>
    <s v="Pepper"/>
    <x v="0"/>
    <s v="Australian Shepherd"/>
    <s v="11/05/2023"/>
    <s v="NT05"/>
    <x v="7"/>
    <n v="-290.27789999999999"/>
    <s v="Frederick"/>
    <s v="No instructions needed"/>
  </r>
  <r>
    <n v="386"/>
    <n v="149"/>
    <n v="101"/>
    <s v="Jax"/>
    <x v="1"/>
    <s v="French Bulldog"/>
    <s v="04/18/2023"/>
    <s v="RAD08"/>
    <x v="4"/>
    <n v="868.63109999999995"/>
    <s v="Frederick"/>
    <s v="No instructions needed"/>
  </r>
  <r>
    <n v="387"/>
    <n v="193"/>
    <n v="7"/>
    <s v="Daisy"/>
    <x v="1"/>
    <s v="Labrador Retriever"/>
    <s v="10/23/2023"/>
    <s v="SUR04"/>
    <x v="0"/>
    <n v="505.68090000000001"/>
    <s v="Frederick"/>
    <s v="Needs TGH instructions"/>
  </r>
  <r>
    <n v="388"/>
    <n v="48"/>
    <n v="106"/>
    <s v="Harley"/>
    <x v="1"/>
    <s v="Boston Terrier"/>
    <s v="08/13/2023"/>
    <s v="DEN02"/>
    <x v="3"/>
    <n v="647.15909999999997"/>
    <s v="Rockville"/>
    <s v="No instructions needed"/>
  </r>
  <r>
    <n v="389"/>
    <n v="84"/>
    <n v="140"/>
    <s v="Loki"/>
    <x v="0"/>
    <s v="Abyssinian"/>
    <s v="07/27/2023"/>
    <s v="NT05"/>
    <x v="7"/>
    <n v="-48.2012"/>
    <s v="Baltimore"/>
    <s v="No instructions needed"/>
  </r>
  <r>
    <n v="390"/>
    <n v="22"/>
    <n v="137"/>
    <s v="Tucker"/>
    <x v="0"/>
    <s v="Bengal"/>
    <s v="05/07/2023"/>
    <s v="CHK03"/>
    <x v="6"/>
    <n v="-48.435899999999997"/>
    <s v="Baltimore"/>
    <s v="No instructions needed"/>
  </r>
  <r>
    <n v="391"/>
    <n v="130"/>
    <n v="135"/>
    <s v="Nova"/>
    <x v="0"/>
    <s v="German Shepherd"/>
    <s v="12/18/2023"/>
    <s v="VAC01"/>
    <x v="5"/>
    <n v="277.10289999999998"/>
    <s v="Rockville"/>
    <s v="No instructions needed"/>
  </r>
  <r>
    <n v="392"/>
    <n v="114"/>
    <n v="128"/>
    <s v="Bailey"/>
    <x v="0"/>
    <s v="Maine Coon"/>
    <s v="03/31/2023"/>
    <s v="VAC01"/>
    <x v="5"/>
    <n v="100.08759999999999"/>
    <s v="Frederick"/>
    <s v="No instructions needed"/>
  </r>
  <r>
    <n v="393"/>
    <n v="151"/>
    <n v="117"/>
    <s v="Bailey"/>
    <x v="0"/>
    <s v="Border Collie"/>
    <s v="10/07/2023"/>
    <s v="DEN02"/>
    <x v="3"/>
    <n v="127.0641"/>
    <s v="Rockville"/>
    <s v="No instructions needed"/>
  </r>
  <r>
    <n v="394"/>
    <n v="118"/>
    <n v="29"/>
    <s v="Gizmo"/>
    <x v="1"/>
    <s v="Bulldog"/>
    <s v="02/22/2023"/>
    <s v="RAD08"/>
    <x v="4"/>
    <n v="-76.145700000000005"/>
    <s v="Frederick"/>
    <s v="No instructions needed"/>
  </r>
  <r>
    <n v="395"/>
    <n v="19"/>
    <n v="131"/>
    <s v="Blue"/>
    <x v="1"/>
    <s v="Shih Tzu"/>
    <s v="07/09/2023"/>
    <s v="BW07"/>
    <x v="2"/>
    <n v="875.32640000000004"/>
    <s v="Baltimore"/>
    <s v="No instructions needed"/>
  </r>
  <r>
    <n v="396"/>
    <n v="31"/>
    <n v="22"/>
    <s v="Tank"/>
    <x v="1"/>
    <s v="Ragdoll"/>
    <s v="01/21/2023"/>
    <s v="RAD08"/>
    <x v="4"/>
    <n v="21.060400000000001"/>
    <s v="Baltimore"/>
    <s v="No instructions needed"/>
  </r>
  <r>
    <n v="397"/>
    <n v="52"/>
    <n v="150"/>
    <s v="Jax"/>
    <x v="0"/>
    <s v="Maine Coon"/>
    <s v="07/29/2023"/>
    <s v="BW07"/>
    <x v="2"/>
    <n v="282.67739999999998"/>
    <s v="Rockville"/>
    <s v="No instructions needed"/>
  </r>
  <r>
    <n v="398"/>
    <n v="161"/>
    <n v="85"/>
    <s v="Lucy"/>
    <x v="0"/>
    <s v="Labrador Retriever"/>
    <s v="01/05/2023"/>
    <s v="SUR04"/>
    <x v="0"/>
    <n v="-265.76659999999998"/>
    <s v="Baltimore"/>
    <s v="Needs TGH instructions"/>
  </r>
  <r>
    <n v="399"/>
    <n v="119"/>
    <n v="116"/>
    <s v="Cooper"/>
    <x v="0"/>
    <s v="Ragdoll"/>
    <s v="09/14/2023"/>
    <s v="BW07"/>
    <x v="2"/>
    <n v="656.40539999999999"/>
    <s v="Frederick"/>
    <s v="No instructions needed"/>
  </r>
  <r>
    <n v="400"/>
    <n v="30"/>
    <n v="82"/>
    <s v="Scout"/>
    <x v="0"/>
    <s v="Siamese"/>
    <s v="06/12/2023"/>
    <s v="CHK03"/>
    <x v="6"/>
    <n v="59.463900000000002"/>
    <s v="Frederick"/>
    <s v="No instructions needed"/>
  </r>
  <r>
    <n v="401"/>
    <n v="7"/>
    <n v="53"/>
    <s v="Ruby"/>
    <x v="1"/>
    <s v="Abyssinian"/>
    <s v="10/01/2023"/>
    <s v="NT05"/>
    <x v="7"/>
    <n v="49.212899999999998"/>
    <s v="Frederick"/>
    <s v="No instructions needed"/>
  </r>
  <r>
    <n v="402"/>
    <n v="91"/>
    <n v="18"/>
    <s v="Stella"/>
    <x v="1"/>
    <s v="Russian Blue"/>
    <s v="11/15/2023"/>
    <s v="NT05"/>
    <x v="7"/>
    <n v="649.32560000000001"/>
    <s v="Rockville"/>
    <s v="No instructions needed"/>
  </r>
  <r>
    <n v="403"/>
    <n v="29"/>
    <n v="120"/>
    <s v="Oreo"/>
    <x v="1"/>
    <s v="Labrador Retriever"/>
    <s v="12/14/2023"/>
    <s v="SUR04"/>
    <x v="0"/>
    <n v="634.02279999999996"/>
    <s v="Frederick"/>
    <s v="Needs TGH instructions"/>
  </r>
  <r>
    <n v="404"/>
    <n v="169"/>
    <n v="81"/>
    <s v="Rosie"/>
    <x v="0"/>
    <s v="Cocker Spaniel"/>
    <s v="05/20/2023"/>
    <s v="DEN02"/>
    <x v="3"/>
    <n v="-154.03890000000001"/>
    <s v="Baltimore"/>
    <s v="No instructions needed"/>
  </r>
  <r>
    <n v="405"/>
    <n v="58"/>
    <n v="118"/>
    <s v="Cooper"/>
    <x v="0"/>
    <s v="Poodle"/>
    <s v="03/04/2023"/>
    <s v="VAC01"/>
    <x v="5"/>
    <n v="461.10359999999997"/>
    <s v="Baltimore"/>
    <s v="No instructions needed"/>
  </r>
  <r>
    <n v="406"/>
    <n v="162"/>
    <n v="93"/>
    <s v="Duke"/>
    <x v="1"/>
    <s v="Abyssinian"/>
    <s v="09/28/2023"/>
    <s v="BW07"/>
    <x v="2"/>
    <n v="146.49590000000001"/>
    <s v="Rockville"/>
    <s v="No instructions needed"/>
  </r>
  <r>
    <n v="407"/>
    <n v="65"/>
    <n v="103"/>
    <s v="Riley"/>
    <x v="1"/>
    <s v="Border Collie"/>
    <s v="10/19/2023"/>
    <s v="EM06"/>
    <x v="1"/>
    <n v="-52.04"/>
    <s v="Frederick"/>
    <s v="No instructions needed"/>
  </r>
  <r>
    <n v="408"/>
    <n v="33"/>
    <n v="4"/>
    <s v="Rosie"/>
    <x v="0"/>
    <s v="Siamese"/>
    <s v="10/26/2023"/>
    <s v="RAD08"/>
    <x v="4"/>
    <n v="697.46889999999996"/>
    <s v="Rockville"/>
    <s v="No instructions needed"/>
  </r>
  <r>
    <n v="409"/>
    <n v="183"/>
    <n v="150"/>
    <s v="Ellie"/>
    <x v="0"/>
    <s v="Russian Blue"/>
    <s v="06/04/2023"/>
    <s v="BW07"/>
    <x v="2"/>
    <n v="723.11189999999999"/>
    <s v="Baltimore"/>
    <s v="No instructions needed"/>
  </r>
  <r>
    <n v="410"/>
    <n v="32"/>
    <n v="64"/>
    <s v="Blue"/>
    <x v="0"/>
    <s v="Poodle"/>
    <s v="06/08/2023"/>
    <s v="VAC01"/>
    <x v="5"/>
    <n v="229.51169999999999"/>
    <s v="Frederick"/>
    <s v="No instructions needed"/>
  </r>
  <r>
    <n v="411"/>
    <n v="171"/>
    <n v="115"/>
    <s v="Winston"/>
    <x v="0"/>
    <s v="Chihuahua"/>
    <s v="03/14/2023"/>
    <s v="EM06"/>
    <x v="1"/>
    <n v="68.335300000000004"/>
    <s v="Rockville"/>
    <s v="No instructions needed"/>
  </r>
  <r>
    <n v="412"/>
    <n v="23"/>
    <n v="111"/>
    <s v="Leo"/>
    <x v="0"/>
    <s v="Boston Terrier"/>
    <s v="05/24/2023"/>
    <s v="SUR04"/>
    <x v="0"/>
    <n v="842.56870000000004"/>
    <s v="Frederick"/>
    <s v="Needs TGH instructions"/>
  </r>
  <r>
    <n v="413"/>
    <n v="127"/>
    <n v="101"/>
    <s v="Blue"/>
    <x v="0"/>
    <s v="Cocker Spaniel"/>
    <s v="09/09/2023"/>
    <s v="NT05"/>
    <x v="7"/>
    <n v="52.573999999999998"/>
    <s v="Frederick"/>
    <s v="No instructions needed"/>
  </r>
  <r>
    <n v="414"/>
    <n v="128"/>
    <n v="27"/>
    <s v="Nala"/>
    <x v="1"/>
    <s v="Ragdoll"/>
    <s v="08/06/2023"/>
    <s v="CHK03"/>
    <x v="6"/>
    <n v="502.20069999999998"/>
    <s v="Baltimore"/>
    <s v="No instructions needed"/>
  </r>
  <r>
    <n v="415"/>
    <n v="93"/>
    <n v="46"/>
    <s v="Scout"/>
    <x v="1"/>
    <s v="Australian Shepherd"/>
    <s v="07/29/2023"/>
    <s v="EM06"/>
    <x v="1"/>
    <n v="881.2441"/>
    <s v="Rockville"/>
    <s v="No instructions needed"/>
  </r>
  <r>
    <n v="416"/>
    <n v="98"/>
    <n v="138"/>
    <s v="Moose"/>
    <x v="0"/>
    <s v="Ragdoll"/>
    <s v="07/16/2023"/>
    <s v="SUR04"/>
    <x v="0"/>
    <n v="137.04509999999999"/>
    <s v="Baltimore"/>
    <s v="Needs TGH instructions"/>
  </r>
  <r>
    <n v="417"/>
    <n v="54"/>
    <n v="3"/>
    <s v="Loki"/>
    <x v="1"/>
    <s v="Australian Shepherd"/>
    <s v="02/12/2023"/>
    <s v="CHK03"/>
    <x v="6"/>
    <n v="-71.841300000000004"/>
    <s v="Frederick"/>
    <s v="No instructions needed"/>
  </r>
  <r>
    <n v="418"/>
    <n v="191"/>
    <n v="105"/>
    <s v="Rocky"/>
    <x v="0"/>
    <s v="Australian Shepherd"/>
    <s v="02/17/2023"/>
    <s v="VAC01"/>
    <x v="5"/>
    <n v="438.97129999999999"/>
    <s v="Frederick"/>
    <s v="No instructions needed"/>
  </r>
  <r>
    <n v="419"/>
    <n v="42"/>
    <n v="123"/>
    <s v="Sadie"/>
    <x v="1"/>
    <s v="Golden Retriever"/>
    <s v="07/04/2023"/>
    <s v="NT05"/>
    <x v="7"/>
    <n v="236.92920000000001"/>
    <s v="Rockville"/>
    <s v="No instructions needed"/>
  </r>
  <r>
    <n v="420"/>
    <n v="169"/>
    <n v="102"/>
    <s v="Bailey"/>
    <x v="1"/>
    <s v="Boston Terrier"/>
    <s v="08/04/2023"/>
    <s v="BW07"/>
    <x v="2"/>
    <n v="520.78129999999999"/>
    <s v="Frederick"/>
    <s v="No instructions needed"/>
  </r>
  <r>
    <n v="421"/>
    <n v="195"/>
    <n v="56"/>
    <s v="Daisy"/>
    <x v="1"/>
    <s v="Boxer"/>
    <s v="03/15/2023"/>
    <s v="DEN02"/>
    <x v="3"/>
    <n v="294.92590000000001"/>
    <s v="Frederick"/>
    <s v="No instructions needed"/>
  </r>
  <r>
    <n v="422"/>
    <n v="60"/>
    <n v="3"/>
    <s v="Sadie"/>
    <x v="0"/>
    <s v="Poodle"/>
    <s v="01/29/2023"/>
    <s v="EM06"/>
    <x v="1"/>
    <n v="127.8862"/>
    <s v="Baltimore"/>
    <s v="No instructions needed"/>
  </r>
  <r>
    <n v="423"/>
    <n v="21"/>
    <n v="5"/>
    <s v="Atlas"/>
    <x v="1"/>
    <s v="Russian Blue"/>
    <s v="02/25/2023"/>
    <s v="NT05"/>
    <x v="7"/>
    <n v="605.0865"/>
    <s v="Baltimore"/>
    <s v="No instructions needed"/>
  </r>
  <r>
    <n v="424"/>
    <n v="191"/>
    <n v="10"/>
    <s v="Simba"/>
    <x v="1"/>
    <s v="Cocker Spaniel"/>
    <s v="03/03/2023"/>
    <s v="EM06"/>
    <x v="1"/>
    <n v="-49.531799999999997"/>
    <s v="Rockville"/>
    <s v="No instructions needed"/>
  </r>
  <r>
    <n v="425"/>
    <n v="166"/>
    <n v="59"/>
    <s v="Duke"/>
    <x v="0"/>
    <s v="Ragdoll"/>
    <s v="12/24/2023"/>
    <s v="NT05"/>
    <x v="7"/>
    <n v="-15.394600000000001"/>
    <s v="Rockville"/>
    <s v="No instructions needed"/>
  </r>
  <r>
    <n v="426"/>
    <n v="55"/>
    <n v="113"/>
    <s v="Finn"/>
    <x v="0"/>
    <s v="Border Collie"/>
    <s v="06/19/2023"/>
    <s v="DEN02"/>
    <x v="3"/>
    <n v="354.79910000000001"/>
    <s v="Frederick"/>
    <s v="No instructions needed"/>
  </r>
  <r>
    <n v="427"/>
    <n v="155"/>
    <n v="62"/>
    <s v="Lucy"/>
    <x v="1"/>
    <s v="Maine Coon"/>
    <s v="12/25/2023"/>
    <s v="DEN02"/>
    <x v="3"/>
    <n v="69.934600000000003"/>
    <s v="Frederick"/>
    <s v="No instructions needed"/>
  </r>
  <r>
    <n v="428"/>
    <n v="156"/>
    <n v="11"/>
    <s v="Zoey"/>
    <x v="1"/>
    <s v="Maine Coon"/>
    <s v="01/12/2023"/>
    <s v="BW07"/>
    <x v="2"/>
    <n v="15.882"/>
    <s v="Rockville"/>
    <s v="No instructions needed"/>
  </r>
  <r>
    <n v="429"/>
    <n v="187"/>
    <n v="57"/>
    <s v="Finn"/>
    <x v="1"/>
    <s v="Golden Retriever"/>
    <s v="11/19/2023"/>
    <s v="DEN02"/>
    <x v="3"/>
    <n v="28.459700000000002"/>
    <s v="Frederick"/>
    <s v="No instructions needed"/>
  </r>
  <r>
    <n v="430"/>
    <n v="79"/>
    <n v="16"/>
    <s v="Winston"/>
    <x v="1"/>
    <s v="Bengal"/>
    <s v="10/21/2023"/>
    <s v="VAC01"/>
    <x v="5"/>
    <n v="345.41129999999998"/>
    <s v="Baltimore"/>
    <s v="No instructions needed"/>
  </r>
  <r>
    <n v="431"/>
    <n v="197"/>
    <n v="96"/>
    <s v="Bentley"/>
    <x v="1"/>
    <s v="Beagle"/>
    <s v="10/07/2023"/>
    <s v="EM06"/>
    <x v="1"/>
    <n v="218.51599999999999"/>
    <s v="Rockville"/>
    <s v="No instructions needed"/>
  </r>
  <r>
    <n v="432"/>
    <n v="191"/>
    <n v="65"/>
    <s v="Finn"/>
    <x v="0"/>
    <s v="Siamese"/>
    <s v="06/06/2023"/>
    <s v="NT05"/>
    <x v="7"/>
    <n v="696.08249999999998"/>
    <s v="Frederick"/>
    <s v="No instructions needed"/>
  </r>
  <r>
    <n v="433"/>
    <n v="129"/>
    <n v="8"/>
    <s v="Cooper"/>
    <x v="0"/>
    <s v="Siberian Husky"/>
    <s v="04/20/2023"/>
    <s v="DEN02"/>
    <x v="3"/>
    <n v="-115.9387"/>
    <s v="Frederick"/>
    <s v="No instructions needed"/>
  </r>
  <r>
    <n v="434"/>
    <n v="149"/>
    <n v="150"/>
    <s v="Pepper"/>
    <x v="1"/>
    <s v="Boston Terrier"/>
    <s v="12/15/2023"/>
    <s v="RAD08"/>
    <x v="4"/>
    <n v="-42.471699999999998"/>
    <s v="Baltimore"/>
    <s v="No instructions needed"/>
  </r>
  <r>
    <n v="435"/>
    <n v="50"/>
    <n v="32"/>
    <s v="Duke"/>
    <x v="0"/>
    <s v="British Shorthair"/>
    <s v="10/10/2023"/>
    <s v="BW07"/>
    <x v="2"/>
    <n v="272.9402"/>
    <s v="Frederick"/>
    <s v="No instructions needed"/>
  </r>
  <r>
    <n v="436"/>
    <n v="140"/>
    <n v="25"/>
    <s v="Atlas"/>
    <x v="0"/>
    <s v="Ragdoll"/>
    <s v="04/14/2023"/>
    <s v="EM06"/>
    <x v="1"/>
    <n v="750.29740000000004"/>
    <s v="Frederick"/>
    <s v="No instructions needed"/>
  </r>
  <r>
    <n v="437"/>
    <n v="158"/>
    <n v="93"/>
    <s v="Daisy"/>
    <x v="1"/>
    <s v="Bulldog"/>
    <s v="12/22/2023"/>
    <s v="DEN02"/>
    <x v="3"/>
    <n v="268.58390000000003"/>
    <s v="Frederick"/>
    <s v="No instructions needed"/>
  </r>
  <r>
    <n v="438"/>
    <n v="142"/>
    <n v="122"/>
    <s v="Loki"/>
    <x v="0"/>
    <s v="Abyssinian"/>
    <s v="01/07/2023"/>
    <s v="CHK03"/>
    <x v="6"/>
    <n v="216.01060000000001"/>
    <s v="Frederick"/>
    <s v="No instructions needed"/>
  </r>
  <r>
    <n v="439"/>
    <n v="10"/>
    <n v="5"/>
    <s v="Loki"/>
    <x v="0"/>
    <s v="Scottish Fold"/>
    <s v="12/18/2023"/>
    <s v="NT05"/>
    <x v="7"/>
    <n v="625.23009999999999"/>
    <s v="Frederick"/>
    <s v="No instructions needed"/>
  </r>
  <r>
    <n v="440"/>
    <n v="16"/>
    <n v="101"/>
    <s v="Bailey"/>
    <x v="0"/>
    <s v="Boxer"/>
    <s v="10/07/2023"/>
    <s v="BW07"/>
    <x v="2"/>
    <n v="561.62599999999998"/>
    <s v="Baltimore"/>
    <s v="No instructions needed"/>
  </r>
  <r>
    <n v="441"/>
    <n v="151"/>
    <n v="10"/>
    <s v="Finn"/>
    <x v="0"/>
    <s v="Persian"/>
    <s v="12/30/2023"/>
    <s v="CHK03"/>
    <x v="6"/>
    <n v="198.31469999999999"/>
    <s v="Rockville"/>
    <s v="No instructions needed"/>
  </r>
  <r>
    <n v="442"/>
    <n v="119"/>
    <n v="80"/>
    <s v="Nova"/>
    <x v="1"/>
    <s v="Boxer"/>
    <s v="10/28/2023"/>
    <s v="BW07"/>
    <x v="2"/>
    <n v="41.808"/>
    <s v="Frederick"/>
    <s v="No instructions needed"/>
  </r>
  <r>
    <n v="443"/>
    <n v="97"/>
    <n v="63"/>
    <s v="Daisy"/>
    <x v="0"/>
    <s v="Boston Terrier"/>
    <s v="09/21/2023"/>
    <s v="VAC01"/>
    <x v="5"/>
    <n v="14.260400000000001"/>
    <s v="Baltimore"/>
    <s v="No instructions needed"/>
  </r>
  <r>
    <n v="444"/>
    <n v="145"/>
    <n v="97"/>
    <s v="Winston"/>
    <x v="1"/>
    <s v="Maine Coon"/>
    <s v="10/25/2023"/>
    <s v="BW07"/>
    <x v="2"/>
    <n v="320.67250000000001"/>
    <s v="Frederick"/>
    <s v="No instructions needed"/>
  </r>
  <r>
    <n v="445"/>
    <n v="99"/>
    <n v="150"/>
    <s v="Marley"/>
    <x v="1"/>
    <s v="Chihuahua"/>
    <s v="04/07/2023"/>
    <s v="VAC01"/>
    <x v="5"/>
    <n v="335.90519999999998"/>
    <s v="Baltimore"/>
    <s v="No instructions needed"/>
  </r>
  <r>
    <n v="446"/>
    <n v="59"/>
    <n v="101"/>
    <s v="Bella"/>
    <x v="0"/>
    <s v="Bulldog"/>
    <s v="09/27/2023"/>
    <s v="BW07"/>
    <x v="2"/>
    <n v="-101.4098"/>
    <s v="Rockville"/>
    <s v="No instructions needed"/>
  </r>
  <r>
    <n v="447"/>
    <n v="77"/>
    <n v="141"/>
    <s v="Ellie"/>
    <x v="1"/>
    <s v="Sphynx"/>
    <s v="09/26/2023"/>
    <s v="NT05"/>
    <x v="7"/>
    <n v="487.64760000000001"/>
    <s v="Baltimore"/>
    <s v="No instructions needed"/>
  </r>
  <r>
    <n v="448"/>
    <n v="133"/>
    <n v="104"/>
    <s v="Zeus"/>
    <x v="1"/>
    <s v="French Bulldog"/>
    <s v="09/19/2023"/>
    <s v="VAC01"/>
    <x v="5"/>
    <n v="-74.623000000000005"/>
    <s v="Frederick"/>
    <s v="No instructions needed"/>
  </r>
  <r>
    <n v="449"/>
    <n v="113"/>
    <n v="131"/>
    <s v="Bear"/>
    <x v="1"/>
    <s v="Persian"/>
    <s v="04/24/2023"/>
    <s v="DEN02"/>
    <x v="3"/>
    <n v="413.75779999999997"/>
    <s v="Frederick"/>
    <s v="No instructions needed"/>
  </r>
  <r>
    <n v="450"/>
    <n v="185"/>
    <n v="31"/>
    <s v="Stella"/>
    <x v="1"/>
    <s v="Chihuahua"/>
    <s v="06/03/2023"/>
    <s v="CHK03"/>
    <x v="6"/>
    <n v="516.97379999999998"/>
    <s v="Frederick"/>
    <s v="No instructions needed"/>
  </r>
  <r>
    <n v="451"/>
    <n v="100"/>
    <n v="89"/>
    <s v="Luna"/>
    <x v="0"/>
    <s v="Russian Blue"/>
    <s v="10/27/2023"/>
    <s v="VAC01"/>
    <x v="5"/>
    <n v="772.51300000000003"/>
    <s v="Frederick"/>
    <s v="No instructions needed"/>
  </r>
  <r>
    <n v="452"/>
    <n v="90"/>
    <n v="100"/>
    <s v="Moose"/>
    <x v="0"/>
    <s v="Australian Shepherd"/>
    <s v="07/07/2023"/>
    <s v="NT05"/>
    <x v="7"/>
    <n v="-265.10730000000001"/>
    <s v="Frederick"/>
    <s v="No instructions needed"/>
  </r>
  <r>
    <n v="453"/>
    <n v="186"/>
    <n v="35"/>
    <s v="Ellie"/>
    <x v="1"/>
    <s v="Labrador Retriever"/>
    <s v="10/29/2023"/>
    <s v="BW07"/>
    <x v="2"/>
    <n v="751.71759999999995"/>
    <s v="Frederick"/>
    <s v="No instructions needed"/>
  </r>
  <r>
    <n v="454"/>
    <n v="109"/>
    <n v="1"/>
    <s v="Ace"/>
    <x v="0"/>
    <s v="Siamese"/>
    <s v="10/26/2023"/>
    <s v="SUR04"/>
    <x v="0"/>
    <n v="-196.24629999999999"/>
    <s v="Baltimore"/>
    <s v="Needs TGH instructions"/>
  </r>
  <r>
    <n v="455"/>
    <n v="158"/>
    <n v="11"/>
    <s v="Bear"/>
    <x v="1"/>
    <s v="Sphynx"/>
    <s v="04/07/2023"/>
    <s v="SUR04"/>
    <x v="0"/>
    <n v="411.00389999999999"/>
    <s v="Frederick"/>
    <s v="Needs TGH instructions"/>
  </r>
  <r>
    <n v="456"/>
    <n v="96"/>
    <n v="34"/>
    <s v="Bear"/>
    <x v="1"/>
    <s v="Siamese"/>
    <s v="05/23/2023"/>
    <s v="SUR04"/>
    <x v="0"/>
    <n v="-146.6465"/>
    <s v="Rockville"/>
    <s v="Needs TGH instructions"/>
  </r>
  <r>
    <n v="457"/>
    <n v="91"/>
    <n v="43"/>
    <s v="Winston"/>
    <x v="1"/>
    <s v="Siamese"/>
    <s v="01/24/2023"/>
    <s v="NT05"/>
    <x v="7"/>
    <n v="887.30089999999996"/>
    <s v="Baltimore"/>
    <s v="No instructions needed"/>
  </r>
  <r>
    <n v="458"/>
    <n v="84"/>
    <n v="48"/>
    <s v="Loki"/>
    <x v="0"/>
    <s v="Chihuahua"/>
    <s v="05/14/2023"/>
    <s v="VAC01"/>
    <x v="5"/>
    <n v="548.89779999999996"/>
    <s v="Rockville"/>
    <s v="No instructions needed"/>
  </r>
  <r>
    <n v="459"/>
    <n v="130"/>
    <n v="123"/>
    <s v="Nova"/>
    <x v="0"/>
    <s v="Shih Tzu"/>
    <s v="02/20/2023"/>
    <s v="RAD08"/>
    <x v="4"/>
    <n v="-278.65839999999997"/>
    <s v="Baltimore"/>
    <s v="No instructions needed"/>
  </r>
  <r>
    <n v="460"/>
    <n v="183"/>
    <n v="94"/>
    <s v="Zeus"/>
    <x v="0"/>
    <s v="Boston Terrier"/>
    <s v="06/04/2023"/>
    <s v="EM06"/>
    <x v="1"/>
    <n v="87.957400000000007"/>
    <s v="Frederick"/>
    <s v="No instructions needed"/>
  </r>
  <r>
    <n v="461"/>
    <n v="193"/>
    <n v="128"/>
    <s v="Milo"/>
    <x v="1"/>
    <s v="Bulldog"/>
    <s v="03/24/2023"/>
    <s v="RAD08"/>
    <x v="4"/>
    <n v="916.63469999999995"/>
    <s v="Frederick"/>
    <s v="No instructions needed"/>
  </r>
  <r>
    <n v="462"/>
    <n v="33"/>
    <n v="67"/>
    <s v="Loki"/>
    <x v="0"/>
    <s v="Poodle"/>
    <s v="09/25/2023"/>
    <s v="CHK03"/>
    <x v="6"/>
    <n v="896.42859999999996"/>
    <s v="Baltimore"/>
    <s v="No instructions needed"/>
  </r>
  <r>
    <n v="463"/>
    <n v="63"/>
    <n v="115"/>
    <s v="Ace"/>
    <x v="0"/>
    <s v="Siberian Husky"/>
    <s v="08/08/2023"/>
    <s v="VAC01"/>
    <x v="5"/>
    <n v="199.376"/>
    <s v="Frederick"/>
    <s v="No instructions needed"/>
  </r>
  <r>
    <n v="464"/>
    <n v="86"/>
    <n v="24"/>
    <s v="Blue"/>
    <x v="0"/>
    <s v="Siberian Husky"/>
    <s v="02/08/2023"/>
    <s v="DEN02"/>
    <x v="3"/>
    <n v="538.90639999999996"/>
    <s v="Frederick"/>
    <s v="No instructions needed"/>
  </r>
  <r>
    <n v="465"/>
    <n v="199"/>
    <n v="35"/>
    <s v="Tank"/>
    <x v="0"/>
    <s v="Ragdoll"/>
    <s v="03/08/2023"/>
    <s v="VAC01"/>
    <x v="5"/>
    <n v="38.111499999999999"/>
    <s v="Rockville"/>
    <s v="No instructions needed"/>
  </r>
  <r>
    <n v="466"/>
    <n v="152"/>
    <n v="43"/>
    <s v="Shadow"/>
    <x v="0"/>
    <s v="Siberian Husky"/>
    <s v="04/14/2023"/>
    <s v="RAD08"/>
    <x v="4"/>
    <n v="199.2912"/>
    <s v="Frederick"/>
    <s v="No instructions needed"/>
  </r>
  <r>
    <n v="467"/>
    <n v="65"/>
    <n v="10"/>
    <s v="Blue"/>
    <x v="1"/>
    <s v="French Bulldog"/>
    <s v="08/11/2023"/>
    <s v="DEN02"/>
    <x v="3"/>
    <n v="233.59800000000001"/>
    <s v="Frederick"/>
    <s v="No instructions needed"/>
  </r>
  <r>
    <n v="468"/>
    <n v="23"/>
    <n v="13"/>
    <s v="Coco"/>
    <x v="1"/>
    <s v="Golden Retriever"/>
    <s v="06/23/2023"/>
    <s v="CHK03"/>
    <x v="6"/>
    <n v="-203.86930000000001"/>
    <s v="Frederick"/>
    <s v="No instructions needed"/>
  </r>
  <r>
    <n v="469"/>
    <n v="90"/>
    <n v="4"/>
    <s v="Max"/>
    <x v="1"/>
    <s v="Poodle"/>
    <s v="10/04/2023"/>
    <s v="RAD08"/>
    <x v="4"/>
    <n v="994.31970000000001"/>
    <s v="Frederick"/>
    <s v="No instructions needed"/>
  </r>
  <r>
    <n v="470"/>
    <n v="100"/>
    <n v="50"/>
    <s v="Stella"/>
    <x v="1"/>
    <s v="Labrador Retriever"/>
    <s v="04/02/2023"/>
    <s v="VAC01"/>
    <x v="5"/>
    <n v="183.8295"/>
    <s v="Baltimore"/>
    <s v="No instructions needed"/>
  </r>
  <r>
    <n v="471"/>
    <n v="136"/>
    <n v="38"/>
    <s v="Shadow"/>
    <x v="0"/>
    <s v="Cocker Spaniel"/>
    <s v="03/18/2023"/>
    <s v="EM06"/>
    <x v="1"/>
    <n v="272.73950000000002"/>
    <s v="Rockville"/>
    <s v="No instructions needed"/>
  </r>
  <r>
    <n v="472"/>
    <n v="161"/>
    <n v="11"/>
    <s v="Murphy"/>
    <x v="0"/>
    <s v="French Bulldog"/>
    <s v="07/20/2023"/>
    <s v="EM06"/>
    <x v="1"/>
    <n v="679.79880000000003"/>
    <s v="Baltimore"/>
    <s v="No instructions needed"/>
  </r>
  <r>
    <n v="473"/>
    <n v="21"/>
    <n v="20"/>
    <s v="Scout"/>
    <x v="1"/>
    <s v="Beagle"/>
    <s v="02/15/2023"/>
    <s v="DEN02"/>
    <x v="3"/>
    <n v="-90.849299999999999"/>
    <s v="Frederick"/>
    <s v="No instructions needed"/>
  </r>
  <r>
    <n v="474"/>
    <n v="108"/>
    <n v="90"/>
    <s v="Loki"/>
    <x v="1"/>
    <s v="Maine Coon"/>
    <s v="12/25/2023"/>
    <s v="VAC01"/>
    <x v="5"/>
    <n v="739.26850000000002"/>
    <s v="Baltimore"/>
    <s v="No instructions needed"/>
  </r>
  <r>
    <n v="475"/>
    <n v="36"/>
    <n v="5"/>
    <s v="Zeus"/>
    <x v="1"/>
    <s v="Russian Blue"/>
    <s v="05/17/2023"/>
    <s v="BW07"/>
    <x v="2"/>
    <n v="932.18939999999998"/>
    <s v="Baltimore"/>
    <s v="No instructions needed"/>
  </r>
  <r>
    <n v="476"/>
    <n v="104"/>
    <n v="32"/>
    <s v="Simba"/>
    <x v="0"/>
    <s v="Ragdoll"/>
    <s v="05/21/2023"/>
    <s v="BW07"/>
    <x v="2"/>
    <n v="-197.6069"/>
    <s v="Frederick"/>
    <s v="No instructions needed"/>
  </r>
  <r>
    <n v="477"/>
    <n v="165"/>
    <n v="35"/>
    <s v="Duke"/>
    <x v="0"/>
    <s v="Doberman Pinscher"/>
    <s v="04/29/2023"/>
    <s v="RAD08"/>
    <x v="4"/>
    <n v="867.15509999999995"/>
    <s v="Frederick"/>
    <s v="No instructions needed"/>
  </r>
  <r>
    <n v="478"/>
    <n v="143"/>
    <n v="102"/>
    <s v="Milo"/>
    <x v="1"/>
    <s v="Sphynx"/>
    <s v="08/22/2023"/>
    <s v="SUR04"/>
    <x v="0"/>
    <n v="413.34269999999998"/>
    <s v="Frederick"/>
    <s v="Needs TGH instructions"/>
  </r>
  <r>
    <n v="479"/>
    <n v="117"/>
    <n v="123"/>
    <s v="Moose"/>
    <x v="1"/>
    <s v="Maine Coon"/>
    <s v="11/02/2023"/>
    <s v="BW07"/>
    <x v="2"/>
    <n v="-64.125900000000001"/>
    <s v="Baltimore"/>
    <s v="No instructions needed"/>
  </r>
  <r>
    <n v="480"/>
    <n v="154"/>
    <n v="15"/>
    <s v="Atlas"/>
    <x v="1"/>
    <s v="Border Collie"/>
    <s v="06/15/2023"/>
    <s v="SUR04"/>
    <x v="0"/>
    <n v="637.53819999999996"/>
    <s v="Rockville"/>
    <s v="Needs TGH instructions"/>
  </r>
  <r>
    <n v="481"/>
    <n v="183"/>
    <n v="80"/>
    <s v="Tucker"/>
    <x v="0"/>
    <s v="Golden Retriever"/>
    <s v="12/10/2023"/>
    <s v="NT05"/>
    <x v="7"/>
    <n v="96.795100000000005"/>
    <s v="Frederick"/>
    <s v="No instructions needed"/>
  </r>
  <r>
    <n v="482"/>
    <n v="88"/>
    <n v="65"/>
    <s v="Blue"/>
    <x v="0"/>
    <s v="Sphynx"/>
    <s v="04/18/2023"/>
    <s v="VAC01"/>
    <x v="5"/>
    <n v="809.76949999999999"/>
    <s v="Baltimore"/>
    <s v="No instructions needed"/>
  </r>
  <r>
    <n v="483"/>
    <n v="62"/>
    <n v="112"/>
    <s v="Ace"/>
    <x v="1"/>
    <s v="Scottish Fold"/>
    <s v="11/04/2023"/>
    <s v="RAD08"/>
    <x v="4"/>
    <n v="694.23749999999995"/>
    <s v="Baltimore"/>
    <s v="No instructions needed"/>
  </r>
  <r>
    <n v="484"/>
    <n v="190"/>
    <n v="75"/>
    <s v="Ruby"/>
    <x v="1"/>
    <s v="Dachshund"/>
    <s v="05/10/2023"/>
    <s v="EM06"/>
    <x v="1"/>
    <n v="564.91980000000001"/>
    <s v="Frederick"/>
    <s v="No instructions needed"/>
  </r>
  <r>
    <n v="485"/>
    <n v="63"/>
    <n v="11"/>
    <s v="Stella"/>
    <x v="0"/>
    <s v="Siberian Husky"/>
    <s v="12/23/2023"/>
    <s v="VAC01"/>
    <x v="5"/>
    <n v="-47.7149"/>
    <s v="Frederick"/>
    <s v="No instructions needed"/>
  </r>
  <r>
    <n v="486"/>
    <n v="119"/>
    <n v="106"/>
    <s v="Chloe"/>
    <x v="1"/>
    <s v="Siberian Husky"/>
    <s v="01/03/2023"/>
    <s v="RAD08"/>
    <x v="4"/>
    <n v="33.0214"/>
    <s v="Baltimore"/>
    <s v="No instructions needed"/>
  </r>
  <r>
    <n v="487"/>
    <n v="191"/>
    <n v="73"/>
    <s v="Milo"/>
    <x v="0"/>
    <s v="Bulldog"/>
    <s v="06/07/2023"/>
    <s v="BW07"/>
    <x v="2"/>
    <n v="128.6146"/>
    <s v="Frederick"/>
    <s v="No instructions needed"/>
  </r>
  <r>
    <n v="488"/>
    <n v="11"/>
    <n v="133"/>
    <s v="Bentley"/>
    <x v="0"/>
    <s v="Russian Blue"/>
    <s v="07/24/2023"/>
    <s v="RAD08"/>
    <x v="4"/>
    <n v="700.40809999999999"/>
    <s v="Rockville"/>
    <s v="No instructions needed"/>
  </r>
  <r>
    <n v="489"/>
    <n v="25"/>
    <n v="80"/>
    <s v="Oreo"/>
    <x v="0"/>
    <s v="Beagle"/>
    <s v="01/12/2023"/>
    <s v="RAD08"/>
    <x v="4"/>
    <n v="19.865100000000002"/>
    <s v="Baltimore"/>
    <s v="No instructions needed"/>
  </r>
  <r>
    <n v="490"/>
    <n v="198"/>
    <n v="122"/>
    <s v="Nala"/>
    <x v="0"/>
    <s v="Siberian Husky"/>
    <s v="12/05/2023"/>
    <s v="VAC01"/>
    <x v="5"/>
    <n v="566.40629999999999"/>
    <s v="Frederick"/>
    <s v="No instructions needed"/>
  </r>
  <r>
    <n v="491"/>
    <n v="61"/>
    <n v="13"/>
    <s v="Thor"/>
    <x v="1"/>
    <s v="French Bulldog"/>
    <s v="07/20/2023"/>
    <s v="VAC01"/>
    <x v="5"/>
    <n v="431.697"/>
    <s v="Frederick"/>
    <s v="No instructions needed"/>
  </r>
  <r>
    <n v="492"/>
    <n v="151"/>
    <n v="148"/>
    <s v="Bear"/>
    <x v="1"/>
    <s v="French Bulldog"/>
    <s v="01/02/2023"/>
    <s v="SUR04"/>
    <x v="0"/>
    <n v="7.1289999999999996"/>
    <s v="Rockville"/>
    <s v="Needs TGH instructions"/>
  </r>
  <r>
    <n v="493"/>
    <n v="118"/>
    <n v="98"/>
    <s v="Chloe"/>
    <x v="1"/>
    <s v="German Shepherd"/>
    <s v="07/23/2023"/>
    <s v="SUR04"/>
    <x v="0"/>
    <n v="330.77780000000001"/>
    <s v="Frederick"/>
    <s v="Needs TGH instructions"/>
  </r>
  <r>
    <n v="494"/>
    <n v="170"/>
    <n v="56"/>
    <s v="Nova"/>
    <x v="1"/>
    <s v="Cocker Spaniel"/>
    <s v="03/31/2023"/>
    <s v="NT05"/>
    <x v="7"/>
    <n v="144.93549999999999"/>
    <s v="Baltimore"/>
    <s v="No instructions needed"/>
  </r>
  <r>
    <n v="495"/>
    <n v="96"/>
    <n v="56"/>
    <s v="Lucy"/>
    <x v="1"/>
    <s v="Boxer"/>
    <s v="03/02/2023"/>
    <s v="BW07"/>
    <x v="2"/>
    <n v="117.8871"/>
    <s v="Baltimore"/>
    <s v="No instructions needed"/>
  </r>
  <r>
    <n v="496"/>
    <n v="26"/>
    <n v="124"/>
    <s v="Rosie"/>
    <x v="1"/>
    <s v="Russian Blue"/>
    <s v="07/04/2023"/>
    <s v="SUR04"/>
    <x v="0"/>
    <n v="109.3057"/>
    <s v="Frederick"/>
    <s v="Needs TGH instructions"/>
  </r>
  <r>
    <n v="497"/>
    <n v="185"/>
    <n v="78"/>
    <s v="Winston"/>
    <x v="1"/>
    <s v="Maine Coon"/>
    <s v="03/01/2023"/>
    <s v="SUR04"/>
    <x v="0"/>
    <n v="890.50909999999999"/>
    <s v="Frederick"/>
    <s v="Needs TGH instructions"/>
  </r>
  <r>
    <n v="498"/>
    <n v="134"/>
    <n v="142"/>
    <s v="Coco"/>
    <x v="0"/>
    <s v="Persian"/>
    <s v="06/08/2023"/>
    <s v="DEN02"/>
    <x v="3"/>
    <n v="-40.945700000000002"/>
    <s v="Frederick"/>
    <s v="No instructions needed"/>
  </r>
  <r>
    <n v="499"/>
    <n v="145"/>
    <n v="91"/>
    <s v="Blue"/>
    <x v="0"/>
    <s v="Russian Blue"/>
    <s v="09/13/2023"/>
    <s v="RAD08"/>
    <x v="4"/>
    <n v="504.67149999999998"/>
    <s v="Baltimore"/>
    <s v="No instructions needed"/>
  </r>
  <r>
    <n v="500"/>
    <n v="168"/>
    <n v="72"/>
    <s v="Bentley"/>
    <x v="1"/>
    <s v="Border Collie"/>
    <s v="05/24/2023"/>
    <s v="NT05"/>
    <x v="7"/>
    <n v="513.72630000000004"/>
    <s v="Frederick"/>
    <s v="No instructions need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D7B705-3713-4644-BC01-0E60A283628E}" name="Number of Visits to Clinics per Treat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eatments" colHeaderCaption="Location">
  <location ref="A25:E35" firstHeaderRow="1" firstDataRow="2" firstDataCol="1"/>
  <pivotFields count="11">
    <pivotField dataField="1" numFmtId="1" showAll="0"/>
    <pivotField numFmtId="1" showAll="0"/>
    <pivotField numFmtId="1" showAll="0"/>
    <pivotField showAll="0"/>
    <pivotField showAll="0"/>
    <pivotField showAll="0"/>
    <pivotField showAll="0"/>
    <pivotField axis="axisRow" showAll="0">
      <items count="9">
        <item x="2"/>
        <item x="3"/>
        <item x="1"/>
        <item x="7"/>
        <item x="6"/>
        <item x="4"/>
        <item x="0"/>
        <item x="5"/>
        <item t="default"/>
      </items>
    </pivotField>
    <pivotField showAll="0"/>
    <pivotField numFmtId="164" showAll="0"/>
    <pivotField axis="axisCol" showAll="0">
      <items count="4">
        <item x="2"/>
        <item x="1"/>
        <item x="0"/>
        <item t="default"/>
      </items>
    </pivotField>
  </pivotFields>
  <rowFields count="1">
    <field x="7"/>
  </rowFields>
  <rowItems count="9">
    <i>
      <x/>
    </i>
    <i>
      <x v="1"/>
    </i>
    <i>
      <x v="2"/>
    </i>
    <i>
      <x v="3"/>
    </i>
    <i>
      <x v="4"/>
    </i>
    <i>
      <x v="5"/>
    </i>
    <i>
      <x v="6"/>
    </i>
    <i>
      <x v="7"/>
    </i>
    <i t="grand">
      <x/>
    </i>
  </rowItems>
  <colFields count="1">
    <field x="10"/>
  </colFields>
  <colItems count="4">
    <i>
      <x/>
    </i>
    <i>
      <x v="1"/>
    </i>
    <i>
      <x v="2"/>
    </i>
    <i t="grand">
      <x/>
    </i>
  </colItems>
  <dataFields count="1">
    <dataField name="Number of Visits" fld="0" subtotal="count" baseField="7" baseItem="0"/>
  </dataField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8A068E-CBC2-4190-B695-28E998EC8770}" name="Revenue by Treat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eatment">
  <location ref="I9:J18" firstHeaderRow="1" firstDataRow="1" firstDataCol="1"/>
  <pivotFields count="11">
    <pivotField numFmtId="1" showAll="0"/>
    <pivotField numFmtId="1" showAll="0"/>
    <pivotField numFmtId="1" showAll="0"/>
    <pivotField showAll="0"/>
    <pivotField showAll="0"/>
    <pivotField showAll="0"/>
    <pivotField showAll="0"/>
    <pivotField axis="axisRow" showAll="0">
      <items count="9">
        <item x="2"/>
        <item x="3"/>
        <item x="1"/>
        <item x="7"/>
        <item x="6"/>
        <item x="4"/>
        <item x="0"/>
        <item x="5"/>
        <item t="default"/>
      </items>
    </pivotField>
    <pivotField showAll="0"/>
    <pivotField dataField="1" numFmtId="164" showAll="0"/>
    <pivotField showAll="0"/>
  </pivotFields>
  <rowFields count="1">
    <field x="7"/>
  </rowFields>
  <rowItems count="9">
    <i>
      <x/>
    </i>
    <i>
      <x v="1"/>
    </i>
    <i>
      <x v="2"/>
    </i>
    <i>
      <x v="3"/>
    </i>
    <i>
      <x v="4"/>
    </i>
    <i>
      <x v="5"/>
    </i>
    <i>
      <x v="6"/>
    </i>
    <i>
      <x v="7"/>
    </i>
    <i t="grand">
      <x/>
    </i>
  </rowItems>
  <colItems count="1">
    <i/>
  </colItems>
  <dataFields count="1">
    <dataField name="Revenue" fld="9" baseField="7"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649BDB-F4CD-4C47-A113-5240E54B5FFD}" name="Revenue by Clini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linic Location">
  <location ref="A9:B13" firstHeaderRow="1" firstDataRow="1" firstDataCol="1"/>
  <pivotFields count="11">
    <pivotField numFmtId="1" showAll="0"/>
    <pivotField numFmtId="1" showAll="0"/>
    <pivotField numFmtId="1" showAll="0"/>
    <pivotField showAll="0"/>
    <pivotField showAll="0"/>
    <pivotField showAll="0"/>
    <pivotField showAll="0"/>
    <pivotField showAll="0"/>
    <pivotField showAll="0"/>
    <pivotField dataField="1" numFmtId="164" showAll="0"/>
    <pivotField axis="axisRow" showAll="0">
      <items count="4">
        <item x="2"/>
        <item x="1"/>
        <item x="0"/>
        <item t="default"/>
      </items>
    </pivotField>
  </pivotFields>
  <rowFields count="1">
    <field x="10"/>
  </rowFields>
  <rowItems count="4">
    <i>
      <x/>
    </i>
    <i>
      <x v="1"/>
    </i>
    <i>
      <x v="2"/>
    </i>
    <i t="grand">
      <x/>
    </i>
  </rowItems>
  <colItems count="1">
    <i/>
  </colItems>
  <dataFields count="1">
    <dataField name="Revenue" fld="9" baseField="1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5C072A-3D3E-4167-8D11-C2254EA63F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12">
    <pivotField showAll="0"/>
    <pivotField showAll="0"/>
    <pivotField showAll="0"/>
    <pivotField showAll="0"/>
    <pivotField axis="axisRow" showAll="0">
      <items count="3">
        <item x="1"/>
        <item x="0"/>
        <item t="default"/>
      </items>
    </pivotField>
    <pivotField showAll="0"/>
    <pivotField showAll="0"/>
    <pivotField showAll="0"/>
    <pivotField axis="axisPage" showAll="0">
      <items count="9">
        <item x="2"/>
        <item x="3"/>
        <item x="1"/>
        <item x="7"/>
        <item x="6"/>
        <item x="4"/>
        <item x="0"/>
        <item x="5"/>
        <item t="default"/>
      </items>
    </pivotField>
    <pivotField dataField="1" numFmtId="2" showAll="0"/>
    <pivotField showAll="0"/>
    <pivotField showAll="0"/>
  </pivotFields>
  <rowFields count="1">
    <field x="4"/>
  </rowFields>
  <rowItems count="3">
    <i>
      <x/>
    </i>
    <i>
      <x v="1"/>
    </i>
    <i t="grand">
      <x/>
    </i>
  </rowItems>
  <colItems count="1">
    <i/>
  </colItems>
  <pageFields count="1">
    <pageField fld="8" hier="-1"/>
  </pageFields>
  <dataFields count="1">
    <dataField name="Sum of Charge_Amoun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_Location" xr10:uid="{A9B3657D-81F8-486A-B38D-49B26724CD0C}" sourceName="Clinic_Location">
  <pivotTables>
    <pivotTable tabId="5" name="Number of Visits to Clinics per Treatments"/>
  </pivotTables>
  <data>
    <tabular pivotCacheId="126982008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_Location" xr10:uid="{EEBC5524-343B-47EC-B5BD-5229275BFAD4}" cache="Slicer_Clinic_Location" caption="Clinic Location" columnCount="3"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47F7E3-F3F4-4BC9-9E8C-2957AA1913DF}" name="Vet_Visits" displayName="Vet_Visits" ref="A1:K501" totalsRowShown="0">
  <autoFilter ref="A1:K501" xr:uid="{9047F7E3-F3F4-4BC9-9E8C-2957AA1913DF}"/>
  <tableColumns count="11">
    <tableColumn id="1" xr3:uid="{69BA50F9-28ED-458D-8308-530E00A98307}" name="Visit_ID" dataDxfId="11"/>
    <tableColumn id="2" xr3:uid="{D6D1B8AC-0AFD-480D-90D2-556F193F7106}" name="Pet_ID" dataDxfId="10"/>
    <tableColumn id="3" xr3:uid="{84579FA5-65F4-4667-91CF-33D0A777DBE9}" name="Owner_ID" dataDxfId="9"/>
    <tableColumn id="4" xr3:uid="{5BF48272-9A01-482D-9E9D-DCBFC7DFEB85}" name="Pet_Name" dataDxfId="8"/>
    <tableColumn id="5" xr3:uid="{B363FC48-8FEF-42B8-A40B-555F859477B9}" name="Species" dataDxfId="7"/>
    <tableColumn id="6" xr3:uid="{38F693A0-237C-4F7C-A2D7-08394D012778}" name="Breed" dataDxfId="6"/>
    <tableColumn id="7" xr3:uid="{A566FDDE-F291-47AB-AB17-FB25AA3135B0}" name="Visit_Date" dataDxfId="5"/>
    <tableColumn id="16" xr3:uid="{61299D29-CBB3-4D02-8D67-BB5BDA962353}" name="Treatment" dataDxfId="4">
      <calculatedColumnFormula>_xlfn.XLOOKUP(Vet_Visits[[#This Row],[Charge_Code]],Charge_Reference!A:A,Charge_Reference!B:B)</calculatedColumnFormula>
    </tableColumn>
    <tableColumn id="9" xr3:uid="{E35A77F3-2D60-4AFB-A27A-2EACD677D1B7}" name="Charge_Code"/>
    <tableColumn id="10" xr3:uid="{8C787DAA-4840-4578-B843-1D5A4C1A3C31}" name="Charge_Amount" dataDxfId="3"/>
    <tableColumn id="11" xr3:uid="{DAFDD30A-4AC6-412B-9E10-9FA3C0D630D5}" name="Clinic_Locatio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609D-1069-4E5C-A9DA-347010DA869B}">
  <sheetPr>
    <pageSetUpPr fitToPage="1"/>
  </sheetPr>
  <dimension ref="A9:J35"/>
  <sheetViews>
    <sheetView showGridLines="0" zoomScale="80" zoomScaleNormal="80" workbookViewId="0">
      <selection activeCell="W23" sqref="W23"/>
    </sheetView>
  </sheetViews>
  <sheetFormatPr defaultRowHeight="14.4" x14ac:dyDescent="0.3"/>
  <cols>
    <col min="1" max="1" width="16.21875" bestFit="1" customWidth="1"/>
    <col min="2" max="2" width="11.109375" bestFit="1" customWidth="1"/>
    <col min="3" max="3" width="9" bestFit="1" customWidth="1"/>
    <col min="4" max="4" width="8.77734375" bestFit="1" customWidth="1"/>
    <col min="5" max="5" width="11" bestFit="1" customWidth="1"/>
    <col min="7" max="7" width="8.88671875" customWidth="1"/>
    <col min="9" max="9" width="17.109375" bestFit="1" customWidth="1"/>
    <col min="10" max="10" width="11.109375" bestFit="1" customWidth="1"/>
    <col min="11" max="11" width="12" bestFit="1" customWidth="1"/>
  </cols>
  <sheetData>
    <row r="9" spans="1:10" x14ac:dyDescent="0.3">
      <c r="A9" s="5" t="s">
        <v>0</v>
      </c>
      <c r="B9" t="s">
        <v>1</v>
      </c>
      <c r="I9" s="5" t="s">
        <v>2</v>
      </c>
      <c r="J9" t="s">
        <v>1</v>
      </c>
    </row>
    <row r="10" spans="1:10" x14ac:dyDescent="0.3">
      <c r="A10" s="6" t="s">
        <v>3</v>
      </c>
      <c r="B10" s="3">
        <v>46333.785799999998</v>
      </c>
      <c r="I10" s="6" t="s">
        <v>4</v>
      </c>
      <c r="J10" s="3">
        <v>22102.735000000004</v>
      </c>
    </row>
    <row r="11" spans="1:10" x14ac:dyDescent="0.3">
      <c r="A11" s="6" t="s">
        <v>5</v>
      </c>
      <c r="B11" s="3">
        <v>83111.621300000028</v>
      </c>
      <c r="I11" s="6" t="s">
        <v>6</v>
      </c>
      <c r="J11" s="3">
        <v>18746.950400000002</v>
      </c>
    </row>
    <row r="12" spans="1:10" x14ac:dyDescent="0.3">
      <c r="A12" s="6" t="s">
        <v>7</v>
      </c>
      <c r="B12" s="3">
        <v>40212.811500000011</v>
      </c>
      <c r="I12" s="6" t="s">
        <v>8</v>
      </c>
      <c r="J12" s="3">
        <v>19799.897799999999</v>
      </c>
    </row>
    <row r="13" spans="1:10" x14ac:dyDescent="0.3">
      <c r="A13" s="6" t="s">
        <v>9</v>
      </c>
      <c r="B13" s="3">
        <v>169658.21860000002</v>
      </c>
      <c r="I13" s="6" t="s">
        <v>10</v>
      </c>
      <c r="J13" s="3">
        <v>21260.612399999995</v>
      </c>
    </row>
    <row r="14" spans="1:10" x14ac:dyDescent="0.3">
      <c r="I14" s="6" t="s">
        <v>11</v>
      </c>
      <c r="J14" s="3">
        <v>16734.633699999998</v>
      </c>
    </row>
    <row r="15" spans="1:10" x14ac:dyDescent="0.3">
      <c r="I15" s="6" t="s">
        <v>12</v>
      </c>
      <c r="J15" s="3">
        <v>27250.812899999994</v>
      </c>
    </row>
    <row r="16" spans="1:10" x14ac:dyDescent="0.3">
      <c r="I16" s="6" t="s">
        <v>13</v>
      </c>
      <c r="J16" s="3">
        <v>27917.402900000012</v>
      </c>
    </row>
    <row r="17" spans="1:10" x14ac:dyDescent="0.3">
      <c r="I17" s="6" t="s">
        <v>14</v>
      </c>
      <c r="J17" s="3">
        <v>15845.173500000003</v>
      </c>
    </row>
    <row r="18" spans="1:10" x14ac:dyDescent="0.3">
      <c r="I18" s="6" t="s">
        <v>9</v>
      </c>
      <c r="J18" s="3">
        <v>169658.21859999999</v>
      </c>
    </row>
    <row r="25" spans="1:10" x14ac:dyDescent="0.3">
      <c r="A25" s="5" t="s">
        <v>15</v>
      </c>
      <c r="B25" s="5" t="s">
        <v>16</v>
      </c>
    </row>
    <row r="26" spans="1:10" x14ac:dyDescent="0.3">
      <c r="A26" s="5" t="s">
        <v>17</v>
      </c>
      <c r="B26" t="s">
        <v>3</v>
      </c>
      <c r="C26" t="s">
        <v>5</v>
      </c>
      <c r="D26" t="s">
        <v>7</v>
      </c>
      <c r="E26" t="s">
        <v>9</v>
      </c>
    </row>
    <row r="27" spans="1:10" x14ac:dyDescent="0.3">
      <c r="A27" s="6" t="s">
        <v>4</v>
      </c>
      <c r="B27">
        <v>15</v>
      </c>
      <c r="C27">
        <v>28</v>
      </c>
      <c r="D27">
        <v>20</v>
      </c>
      <c r="E27">
        <v>63</v>
      </c>
    </row>
    <row r="28" spans="1:10" x14ac:dyDescent="0.3">
      <c r="A28" s="6" t="s">
        <v>6</v>
      </c>
      <c r="B28">
        <v>14</v>
      </c>
      <c r="C28">
        <v>27</v>
      </c>
      <c r="D28">
        <v>14</v>
      </c>
      <c r="E28">
        <v>55</v>
      </c>
    </row>
    <row r="29" spans="1:10" x14ac:dyDescent="0.3">
      <c r="A29" s="6" t="s">
        <v>8</v>
      </c>
      <c r="B29">
        <v>15</v>
      </c>
      <c r="C29">
        <v>30</v>
      </c>
      <c r="D29">
        <v>15</v>
      </c>
      <c r="E29">
        <v>60</v>
      </c>
    </row>
    <row r="30" spans="1:10" x14ac:dyDescent="0.3">
      <c r="A30" s="6" t="s">
        <v>10</v>
      </c>
      <c r="B30">
        <v>21</v>
      </c>
      <c r="C30">
        <v>35</v>
      </c>
      <c r="D30">
        <v>9</v>
      </c>
      <c r="E30">
        <v>65</v>
      </c>
    </row>
    <row r="31" spans="1:10" x14ac:dyDescent="0.3">
      <c r="A31" s="6" t="s">
        <v>11</v>
      </c>
      <c r="B31">
        <v>20</v>
      </c>
      <c r="C31">
        <v>28</v>
      </c>
      <c r="D31">
        <v>11</v>
      </c>
      <c r="E31">
        <v>59</v>
      </c>
    </row>
    <row r="32" spans="1:10" x14ac:dyDescent="0.3">
      <c r="A32" s="6" t="s">
        <v>12</v>
      </c>
      <c r="B32">
        <v>23</v>
      </c>
      <c r="C32">
        <v>26</v>
      </c>
      <c r="D32">
        <v>19</v>
      </c>
      <c r="E32">
        <v>68</v>
      </c>
    </row>
    <row r="33" spans="1:5" x14ac:dyDescent="0.3">
      <c r="A33" s="6" t="s">
        <v>13</v>
      </c>
      <c r="B33">
        <v>20</v>
      </c>
      <c r="C33">
        <v>38</v>
      </c>
      <c r="D33">
        <v>16</v>
      </c>
      <c r="E33">
        <v>74</v>
      </c>
    </row>
    <row r="34" spans="1:5" x14ac:dyDescent="0.3">
      <c r="A34" s="6" t="s">
        <v>14</v>
      </c>
      <c r="B34">
        <v>13</v>
      </c>
      <c r="C34">
        <v>29</v>
      </c>
      <c r="D34">
        <v>14</v>
      </c>
      <c r="E34">
        <v>56</v>
      </c>
    </row>
    <row r="35" spans="1:5" x14ac:dyDescent="0.3">
      <c r="A35" s="6" t="s">
        <v>9</v>
      </c>
      <c r="B35">
        <v>141</v>
      </c>
      <c r="C35">
        <v>241</v>
      </c>
      <c r="D35">
        <v>118</v>
      </c>
      <c r="E35">
        <v>500</v>
      </c>
    </row>
  </sheetData>
  <pageMargins left="0.7" right="0.7" top="0.75" bottom="0.75" header="0.3" footer="0.3"/>
  <pageSetup paperSize="5" scale="70" orientation="landscape" horizontalDpi="0" verticalDpi="0"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C04D-CFEE-45B3-9672-3D2F46F23D60}">
  <dimension ref="A1:A7"/>
  <sheetViews>
    <sheetView workbookViewId="0">
      <selection activeCell="G7" sqref="G7"/>
    </sheetView>
  </sheetViews>
  <sheetFormatPr defaultRowHeight="14.4" x14ac:dyDescent="0.3"/>
  <cols>
    <col min="1" max="1" width="39.6640625" bestFit="1" customWidth="1"/>
  </cols>
  <sheetData>
    <row r="1" spans="1:1" x14ac:dyDescent="0.3">
      <c r="A1" t="s">
        <v>861</v>
      </c>
    </row>
    <row r="3" spans="1:1" x14ac:dyDescent="0.3">
      <c r="A3" t="s">
        <v>862</v>
      </c>
    </row>
    <row r="4" spans="1:1" x14ac:dyDescent="0.3">
      <c r="A4" t="s">
        <v>863</v>
      </c>
    </row>
    <row r="5" spans="1:1" x14ac:dyDescent="0.3">
      <c r="A5" t="s">
        <v>864</v>
      </c>
    </row>
    <row r="6" spans="1:1" x14ac:dyDescent="0.3">
      <c r="A6" t="s">
        <v>865</v>
      </c>
    </row>
    <row r="7" spans="1:1" x14ac:dyDescent="0.3">
      <c r="A7" t="s">
        <v>866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FA526-E357-4A74-BD1E-DA41904A0149}">
  <dimension ref="A1:K501"/>
  <sheetViews>
    <sheetView topLeftCell="F1" workbookViewId="0">
      <selection activeCell="A2" sqref="A2"/>
    </sheetView>
  </sheetViews>
  <sheetFormatPr defaultRowHeight="14.4" x14ac:dyDescent="0.3"/>
  <cols>
    <col min="1" max="1" width="9.33203125" style="4" customWidth="1"/>
    <col min="2" max="2" width="8.44140625" style="4" customWidth="1"/>
    <col min="3" max="3" width="11.33203125" style="4" customWidth="1"/>
    <col min="4" max="4" width="11.6640625" style="1" customWidth="1"/>
    <col min="5" max="5" width="9.33203125" style="1" customWidth="1"/>
    <col min="6" max="6" width="17.33203125" style="1" bestFit="1" customWidth="1"/>
    <col min="7" max="7" width="15" style="2" customWidth="1"/>
    <col min="8" max="8" width="17.6640625" bestFit="1" customWidth="1"/>
    <col min="9" max="9" width="19.109375" customWidth="1"/>
    <col min="10" max="10" width="19.6640625" style="3" customWidth="1"/>
    <col min="11" max="11" width="15.5546875" customWidth="1"/>
  </cols>
  <sheetData>
    <row r="1" spans="1:11" x14ac:dyDescent="0.3">
      <c r="A1" s="4" t="s">
        <v>18</v>
      </c>
      <c r="B1" s="4" t="s">
        <v>19</v>
      </c>
      <c r="C1" s="4" t="s">
        <v>20</v>
      </c>
      <c r="D1" s="1" t="s">
        <v>21</v>
      </c>
      <c r="E1" s="1" t="s">
        <v>22</v>
      </c>
      <c r="F1" s="1" t="s">
        <v>23</v>
      </c>
      <c r="G1" s="2" t="s">
        <v>24</v>
      </c>
      <c r="H1" t="s">
        <v>2</v>
      </c>
      <c r="I1" t="s">
        <v>25</v>
      </c>
      <c r="J1" s="3" t="s">
        <v>26</v>
      </c>
      <c r="K1" t="s">
        <v>27</v>
      </c>
    </row>
    <row r="2" spans="1:11" x14ac:dyDescent="0.3">
      <c r="A2" s="4">
        <v>1</v>
      </c>
      <c r="B2" s="4">
        <v>47</v>
      </c>
      <c r="C2" s="4">
        <v>116</v>
      </c>
      <c r="D2" s="1" t="s">
        <v>28</v>
      </c>
      <c r="E2" t="s">
        <v>29</v>
      </c>
      <c r="F2" s="1" t="s">
        <v>30</v>
      </c>
      <c r="G2" s="2" t="s">
        <v>31</v>
      </c>
      <c r="H2" t="str">
        <f>_xlfn.XLOOKUP(Vet_Visits[[#This Row],[Charge_Code]],Charge_Reference!A:A,Charge_Reference!B:B)</f>
        <v>Surgery</v>
      </c>
      <c r="I2" t="s">
        <v>32</v>
      </c>
      <c r="J2" s="3">
        <v>939.00519999999995</v>
      </c>
      <c r="K2" t="s">
        <v>7</v>
      </c>
    </row>
    <row r="3" spans="1:11" x14ac:dyDescent="0.3">
      <c r="A3" s="4">
        <v>2</v>
      </c>
      <c r="B3" s="4">
        <v>25</v>
      </c>
      <c r="C3" s="4">
        <v>37</v>
      </c>
      <c r="D3" s="1" t="s">
        <v>33</v>
      </c>
      <c r="E3" s="1" t="s">
        <v>29</v>
      </c>
      <c r="F3" s="1" t="s">
        <v>34</v>
      </c>
      <c r="G3" s="2" t="s">
        <v>35</v>
      </c>
      <c r="H3" t="str">
        <f>_xlfn.XLOOKUP(Vet_Visits[[#This Row],[Charge_Code]],Charge_Reference!A:A,Charge_Reference!B:B)</f>
        <v>Emergency Visit</v>
      </c>
      <c r="I3" t="s">
        <v>36</v>
      </c>
      <c r="J3" s="3">
        <v>725.98050000000001</v>
      </c>
      <c r="K3" t="s">
        <v>7</v>
      </c>
    </row>
    <row r="4" spans="1:11" x14ac:dyDescent="0.3">
      <c r="A4" s="4">
        <v>3</v>
      </c>
      <c r="B4" s="4">
        <v>22</v>
      </c>
      <c r="C4" s="4">
        <v>35</v>
      </c>
      <c r="D4" s="1" t="s">
        <v>37</v>
      </c>
      <c r="E4" s="1" t="s">
        <v>29</v>
      </c>
      <c r="F4" s="1" t="s">
        <v>38</v>
      </c>
      <c r="G4" s="2" t="s">
        <v>39</v>
      </c>
      <c r="H4" t="str">
        <f>_xlfn.XLOOKUP(Vet_Visits[[#This Row],[Charge_Code]],Charge_Reference!A:A,Charge_Reference!B:B)</f>
        <v>Annual Bloodwork</v>
      </c>
      <c r="I4" t="s">
        <v>40</v>
      </c>
      <c r="J4" s="3">
        <v>349.35950000000003</v>
      </c>
      <c r="K4" t="s">
        <v>5</v>
      </c>
    </row>
    <row r="5" spans="1:11" x14ac:dyDescent="0.3">
      <c r="A5" s="4">
        <v>4</v>
      </c>
      <c r="B5" s="4">
        <v>63</v>
      </c>
      <c r="C5" s="4">
        <v>66</v>
      </c>
      <c r="D5" s="1" t="s">
        <v>33</v>
      </c>
      <c r="E5" s="1" t="s">
        <v>41</v>
      </c>
      <c r="F5" s="1" t="s">
        <v>42</v>
      </c>
      <c r="G5" s="2" t="s">
        <v>43</v>
      </c>
      <c r="H5" t="str">
        <f>_xlfn.XLOOKUP(Vet_Visits[[#This Row],[Charge_Code]],Charge_Reference!A:A,Charge_Reference!B:B)</f>
        <v>Emergency Visit</v>
      </c>
      <c r="I5" t="s">
        <v>36</v>
      </c>
      <c r="J5" s="3">
        <v>78.241799999999998</v>
      </c>
      <c r="K5" t="s">
        <v>5</v>
      </c>
    </row>
    <row r="6" spans="1:11" x14ac:dyDescent="0.3">
      <c r="A6" s="4">
        <v>5</v>
      </c>
      <c r="B6" s="4">
        <v>18</v>
      </c>
      <c r="C6" s="4">
        <v>101</v>
      </c>
      <c r="D6" s="1" t="s">
        <v>44</v>
      </c>
      <c r="E6" s="1" t="s">
        <v>29</v>
      </c>
      <c r="F6" s="1" t="s">
        <v>45</v>
      </c>
      <c r="G6" s="2" t="s">
        <v>46</v>
      </c>
      <c r="H6" t="str">
        <f>_xlfn.XLOOKUP(Vet_Visits[[#This Row],[Charge_Code]],Charge_Reference!A:A,Charge_Reference!B:B)</f>
        <v>Dental Cleaning</v>
      </c>
      <c r="I6" t="s">
        <v>47</v>
      </c>
      <c r="J6" s="3">
        <v>480.2783</v>
      </c>
      <c r="K6" t="s">
        <v>5</v>
      </c>
    </row>
    <row r="7" spans="1:11" x14ac:dyDescent="0.3">
      <c r="A7" s="4">
        <v>6</v>
      </c>
      <c r="B7" s="4">
        <v>71</v>
      </c>
      <c r="C7" s="4">
        <v>131</v>
      </c>
      <c r="D7" s="1" t="s">
        <v>48</v>
      </c>
      <c r="E7" s="1" t="s">
        <v>41</v>
      </c>
      <c r="F7" s="1" t="s">
        <v>49</v>
      </c>
      <c r="G7" s="2" t="s">
        <v>50</v>
      </c>
      <c r="H7" t="str">
        <f>_xlfn.XLOOKUP(Vet_Visits[[#This Row],[Charge_Code]],Charge_Reference!A:A,Charge_Reference!B:B)</f>
        <v>Radiographs</v>
      </c>
      <c r="I7" t="s">
        <v>51</v>
      </c>
      <c r="J7" s="3">
        <v>937.5625</v>
      </c>
      <c r="K7" t="s">
        <v>7</v>
      </c>
    </row>
    <row r="8" spans="1:11" x14ac:dyDescent="0.3">
      <c r="A8" s="4">
        <v>7</v>
      </c>
      <c r="B8" s="4">
        <v>92</v>
      </c>
      <c r="C8" s="4">
        <v>75</v>
      </c>
      <c r="D8" s="1" t="s">
        <v>52</v>
      </c>
      <c r="E8" s="1" t="s">
        <v>29</v>
      </c>
      <c r="F8" s="1" t="s">
        <v>53</v>
      </c>
      <c r="G8" s="2" t="s">
        <v>54</v>
      </c>
      <c r="H8" t="str">
        <f>_xlfn.XLOOKUP(Vet_Visits[[#This Row],[Charge_Code]],Charge_Reference!A:A,Charge_Reference!B:B)</f>
        <v>Vaccination</v>
      </c>
      <c r="I8" t="s">
        <v>55</v>
      </c>
      <c r="J8" s="3">
        <v>650.0059</v>
      </c>
      <c r="K8" t="s">
        <v>5</v>
      </c>
    </row>
    <row r="9" spans="1:11" x14ac:dyDescent="0.3">
      <c r="A9" s="4">
        <v>8</v>
      </c>
      <c r="B9" s="4">
        <v>12</v>
      </c>
      <c r="C9" s="4">
        <v>2</v>
      </c>
      <c r="D9" s="1" t="s">
        <v>56</v>
      </c>
      <c r="E9" s="1" t="s">
        <v>29</v>
      </c>
      <c r="F9" s="1" t="s">
        <v>57</v>
      </c>
      <c r="G9" s="2" t="s">
        <v>58</v>
      </c>
      <c r="H9" t="str">
        <f>_xlfn.XLOOKUP(Vet_Visits[[#This Row],[Charge_Code]],Charge_Reference!A:A,Charge_Reference!B:B)</f>
        <v>Office Visit</v>
      </c>
      <c r="I9" t="s">
        <v>59</v>
      </c>
      <c r="J9" s="3">
        <v>-244.71960000000001</v>
      </c>
      <c r="K9" t="s">
        <v>5</v>
      </c>
    </row>
    <row r="10" spans="1:11" x14ac:dyDescent="0.3">
      <c r="A10" s="4">
        <v>9</v>
      </c>
      <c r="B10" s="4">
        <v>192</v>
      </c>
      <c r="C10" s="4">
        <v>107</v>
      </c>
      <c r="D10" s="1" t="s">
        <v>60</v>
      </c>
      <c r="E10" s="1" t="s">
        <v>29</v>
      </c>
      <c r="F10" s="1" t="s">
        <v>61</v>
      </c>
      <c r="G10" s="2" t="s">
        <v>62</v>
      </c>
      <c r="H10" t="str">
        <f>_xlfn.XLOOKUP(Vet_Visits[[#This Row],[Charge_Code]],Charge_Reference!A:A,Charge_Reference!B:B)</f>
        <v>Dental Cleaning</v>
      </c>
      <c r="I10" t="s">
        <v>47</v>
      </c>
      <c r="J10" s="3">
        <v>249.92140000000001</v>
      </c>
      <c r="K10" t="s">
        <v>7</v>
      </c>
    </row>
    <row r="11" spans="1:11" x14ac:dyDescent="0.3">
      <c r="A11" s="4">
        <v>10</v>
      </c>
      <c r="B11" s="4">
        <v>92</v>
      </c>
      <c r="C11" s="4">
        <v>20</v>
      </c>
      <c r="D11" s="1" t="s">
        <v>28</v>
      </c>
      <c r="E11" s="1" t="s">
        <v>29</v>
      </c>
      <c r="F11" s="1" t="s">
        <v>45</v>
      </c>
      <c r="G11" s="2" t="s">
        <v>63</v>
      </c>
      <c r="H11" t="str">
        <f>_xlfn.XLOOKUP(Vet_Visits[[#This Row],[Charge_Code]],Charge_Reference!A:A,Charge_Reference!B:B)</f>
        <v>Nail Trim</v>
      </c>
      <c r="I11" t="s">
        <v>64</v>
      </c>
      <c r="J11" s="3">
        <v>866.72609999999997</v>
      </c>
      <c r="K11" t="s">
        <v>5</v>
      </c>
    </row>
    <row r="12" spans="1:11" x14ac:dyDescent="0.3">
      <c r="A12" s="4">
        <v>11</v>
      </c>
      <c r="B12" s="4">
        <v>124</v>
      </c>
      <c r="C12" s="4">
        <v>72</v>
      </c>
      <c r="D12" s="1" t="s">
        <v>65</v>
      </c>
      <c r="E12" s="1" t="s">
        <v>29</v>
      </c>
      <c r="F12" s="1" t="s">
        <v>66</v>
      </c>
      <c r="G12" s="2" t="s">
        <v>67</v>
      </c>
      <c r="H12" t="str">
        <f>_xlfn.XLOOKUP(Vet_Visits[[#This Row],[Charge_Code]],Charge_Reference!A:A,Charge_Reference!B:B)</f>
        <v>Office Visit</v>
      </c>
      <c r="I12" t="s">
        <v>59</v>
      </c>
      <c r="J12" s="3">
        <v>738.04129999999998</v>
      </c>
      <c r="K12" t="s">
        <v>5</v>
      </c>
    </row>
    <row r="13" spans="1:11" x14ac:dyDescent="0.3">
      <c r="A13" s="4">
        <v>12</v>
      </c>
      <c r="B13" s="4">
        <v>17</v>
      </c>
      <c r="C13" s="4">
        <v>117</v>
      </c>
      <c r="D13" s="1" t="s">
        <v>68</v>
      </c>
      <c r="E13" s="1" t="s">
        <v>29</v>
      </c>
      <c r="F13" s="1" t="s">
        <v>30</v>
      </c>
      <c r="G13" s="2" t="s">
        <v>69</v>
      </c>
      <c r="H13" t="str">
        <f>_xlfn.XLOOKUP(Vet_Visits[[#This Row],[Charge_Code]],Charge_Reference!A:A,Charge_Reference!B:B)</f>
        <v>Office Visit</v>
      </c>
      <c r="I13" t="s">
        <v>59</v>
      </c>
      <c r="J13" s="3">
        <v>66.0608</v>
      </c>
      <c r="K13" t="s">
        <v>3</v>
      </c>
    </row>
    <row r="14" spans="1:11" x14ac:dyDescent="0.3">
      <c r="A14" s="4">
        <v>13</v>
      </c>
      <c r="B14" s="4">
        <v>73</v>
      </c>
      <c r="C14" s="4">
        <v>23</v>
      </c>
      <c r="D14" s="1" t="s">
        <v>70</v>
      </c>
      <c r="E14" s="1" t="s">
        <v>29</v>
      </c>
      <c r="F14" s="1" t="s">
        <v>71</v>
      </c>
      <c r="G14" s="2" t="s">
        <v>72</v>
      </c>
      <c r="H14" t="str">
        <f>_xlfn.XLOOKUP(Vet_Visits[[#This Row],[Charge_Code]],Charge_Reference!A:A,Charge_Reference!B:B)</f>
        <v>Radiographs</v>
      </c>
      <c r="I14" t="s">
        <v>51</v>
      </c>
      <c r="J14" s="3">
        <v>228.29949999999999</v>
      </c>
      <c r="K14" t="s">
        <v>3</v>
      </c>
    </row>
    <row r="15" spans="1:11" x14ac:dyDescent="0.3">
      <c r="A15" s="4">
        <v>14</v>
      </c>
      <c r="B15" s="4">
        <v>14</v>
      </c>
      <c r="C15" s="4">
        <v>2</v>
      </c>
      <c r="D15" s="1" t="s">
        <v>37</v>
      </c>
      <c r="E15" s="1" t="s">
        <v>29</v>
      </c>
      <c r="F15" s="1" t="s">
        <v>73</v>
      </c>
      <c r="G15" s="2" t="s">
        <v>74</v>
      </c>
      <c r="H15" t="str">
        <f>_xlfn.XLOOKUP(Vet_Visits[[#This Row],[Charge_Code]],Charge_Reference!A:A,Charge_Reference!B:B)</f>
        <v>Vaccination</v>
      </c>
      <c r="I15" t="s">
        <v>55</v>
      </c>
      <c r="J15" s="3">
        <v>500.18799999999999</v>
      </c>
      <c r="K15" t="s">
        <v>5</v>
      </c>
    </row>
    <row r="16" spans="1:11" x14ac:dyDescent="0.3">
      <c r="A16" s="4">
        <v>15</v>
      </c>
      <c r="B16" s="4">
        <v>171</v>
      </c>
      <c r="C16" s="4">
        <v>20</v>
      </c>
      <c r="D16" s="1" t="s">
        <v>75</v>
      </c>
      <c r="E16" s="1" t="s">
        <v>29</v>
      </c>
      <c r="F16" s="1" t="s">
        <v>76</v>
      </c>
      <c r="G16" s="2" t="s">
        <v>77</v>
      </c>
      <c r="H16" t="str">
        <f>_xlfn.XLOOKUP(Vet_Visits[[#This Row],[Charge_Code]],Charge_Reference!A:A,Charge_Reference!B:B)</f>
        <v>Surgery</v>
      </c>
      <c r="I16" t="s">
        <v>32</v>
      </c>
      <c r="J16" s="3">
        <v>-290.9812</v>
      </c>
      <c r="K16" t="s">
        <v>3</v>
      </c>
    </row>
    <row r="17" spans="1:11" x14ac:dyDescent="0.3">
      <c r="A17" s="4">
        <v>16</v>
      </c>
      <c r="B17" s="4">
        <v>59</v>
      </c>
      <c r="C17" s="4">
        <v>80</v>
      </c>
      <c r="D17" s="1" t="s">
        <v>78</v>
      </c>
      <c r="E17" s="1" t="s">
        <v>29</v>
      </c>
      <c r="F17" s="1" t="s">
        <v>53</v>
      </c>
      <c r="G17" s="2" t="s">
        <v>79</v>
      </c>
      <c r="H17" t="str">
        <f>_xlfn.XLOOKUP(Vet_Visits[[#This Row],[Charge_Code]],Charge_Reference!A:A,Charge_Reference!B:B)</f>
        <v>Radiographs</v>
      </c>
      <c r="I17" t="s">
        <v>51</v>
      </c>
      <c r="J17" s="3">
        <v>588.9633</v>
      </c>
      <c r="K17" t="s">
        <v>7</v>
      </c>
    </row>
    <row r="18" spans="1:11" x14ac:dyDescent="0.3">
      <c r="A18" s="4">
        <v>17</v>
      </c>
      <c r="B18" s="4">
        <v>181</v>
      </c>
      <c r="C18" s="4">
        <v>139</v>
      </c>
      <c r="D18" s="1" t="s">
        <v>65</v>
      </c>
      <c r="E18" s="1" t="s">
        <v>41</v>
      </c>
      <c r="F18" s="1" t="s">
        <v>30</v>
      </c>
      <c r="G18" s="2" t="s">
        <v>80</v>
      </c>
      <c r="H18" t="str">
        <f>_xlfn.XLOOKUP(Vet_Visits[[#This Row],[Charge_Code]],Charge_Reference!A:A,Charge_Reference!B:B)</f>
        <v>Emergency Visit</v>
      </c>
      <c r="I18" t="s">
        <v>36</v>
      </c>
      <c r="J18" s="3">
        <v>364.0403</v>
      </c>
      <c r="K18" t="s">
        <v>5</v>
      </c>
    </row>
    <row r="19" spans="1:11" x14ac:dyDescent="0.3">
      <c r="A19" s="4">
        <v>18</v>
      </c>
      <c r="B19" s="4">
        <v>157</v>
      </c>
      <c r="C19" s="4">
        <v>70</v>
      </c>
      <c r="D19" s="1" t="s">
        <v>81</v>
      </c>
      <c r="E19" s="1" t="s">
        <v>41</v>
      </c>
      <c r="F19" s="1" t="s">
        <v>82</v>
      </c>
      <c r="G19" s="2" t="s">
        <v>83</v>
      </c>
      <c r="H19" t="str">
        <f>_xlfn.XLOOKUP(Vet_Visits[[#This Row],[Charge_Code]],Charge_Reference!A:A,Charge_Reference!B:B)</f>
        <v>Annual Bloodwork</v>
      </c>
      <c r="I19" t="s">
        <v>40</v>
      </c>
      <c r="J19" s="3">
        <v>387.50560000000002</v>
      </c>
      <c r="K19" t="s">
        <v>7</v>
      </c>
    </row>
    <row r="20" spans="1:11" x14ac:dyDescent="0.3">
      <c r="A20" s="4">
        <v>19</v>
      </c>
      <c r="B20" s="4">
        <v>8</v>
      </c>
      <c r="C20" s="4">
        <v>95</v>
      </c>
      <c r="D20" s="1" t="s">
        <v>84</v>
      </c>
      <c r="E20" s="1" t="s">
        <v>41</v>
      </c>
      <c r="F20" s="1" t="s">
        <v>85</v>
      </c>
      <c r="G20" s="2" t="s">
        <v>86</v>
      </c>
      <c r="H20" t="str">
        <f>_xlfn.XLOOKUP(Vet_Visits[[#This Row],[Charge_Code]],Charge_Reference!A:A,Charge_Reference!B:B)</f>
        <v>Emergency Visit</v>
      </c>
      <c r="I20" t="s">
        <v>36</v>
      </c>
      <c r="J20" s="3">
        <v>879.72659999999996</v>
      </c>
      <c r="K20" t="s">
        <v>5</v>
      </c>
    </row>
    <row r="21" spans="1:11" x14ac:dyDescent="0.3">
      <c r="A21" s="4">
        <v>20</v>
      </c>
      <c r="B21" s="4">
        <v>173</v>
      </c>
      <c r="C21" s="4">
        <v>25</v>
      </c>
      <c r="D21" s="1" t="s">
        <v>37</v>
      </c>
      <c r="E21" s="1" t="s">
        <v>41</v>
      </c>
      <c r="F21" s="1" t="s">
        <v>87</v>
      </c>
      <c r="G21" s="2" t="s">
        <v>88</v>
      </c>
      <c r="H21" t="str">
        <f>_xlfn.XLOOKUP(Vet_Visits[[#This Row],[Charge_Code]],Charge_Reference!A:A,Charge_Reference!B:B)</f>
        <v>Nail Trim</v>
      </c>
      <c r="I21" t="s">
        <v>64</v>
      </c>
      <c r="J21" s="3">
        <v>246.51490000000001</v>
      </c>
      <c r="K21" t="s">
        <v>5</v>
      </c>
    </row>
    <row r="22" spans="1:11" x14ac:dyDescent="0.3">
      <c r="A22" s="4">
        <v>21</v>
      </c>
      <c r="B22" s="4">
        <v>200</v>
      </c>
      <c r="C22" s="4">
        <v>127</v>
      </c>
      <c r="D22" s="1" t="s">
        <v>89</v>
      </c>
      <c r="E22" s="1" t="s">
        <v>29</v>
      </c>
      <c r="F22" s="1" t="s">
        <v>42</v>
      </c>
      <c r="G22" s="2" t="s">
        <v>90</v>
      </c>
      <c r="H22" t="str">
        <f>_xlfn.XLOOKUP(Vet_Visits[[#This Row],[Charge_Code]],Charge_Reference!A:A,Charge_Reference!B:B)</f>
        <v>Surgery</v>
      </c>
      <c r="I22" t="s">
        <v>32</v>
      </c>
      <c r="J22" s="3">
        <v>999.62339999999995</v>
      </c>
      <c r="K22" t="s">
        <v>3</v>
      </c>
    </row>
    <row r="23" spans="1:11" x14ac:dyDescent="0.3">
      <c r="A23" s="4">
        <v>22</v>
      </c>
      <c r="B23" s="4">
        <v>3</v>
      </c>
      <c r="C23" s="4">
        <v>33</v>
      </c>
      <c r="D23" s="1" t="s">
        <v>91</v>
      </c>
      <c r="E23" s="1" t="s">
        <v>41</v>
      </c>
      <c r="F23" s="1" t="s">
        <v>53</v>
      </c>
      <c r="G23" s="2" t="s">
        <v>92</v>
      </c>
      <c r="H23" t="str">
        <f>_xlfn.XLOOKUP(Vet_Visits[[#This Row],[Charge_Code]],Charge_Reference!A:A,Charge_Reference!B:B)</f>
        <v>Dental Cleaning</v>
      </c>
      <c r="I23" t="s">
        <v>47</v>
      </c>
      <c r="J23" s="3">
        <v>-206.3467</v>
      </c>
      <c r="K23" t="s">
        <v>7</v>
      </c>
    </row>
    <row r="24" spans="1:11" x14ac:dyDescent="0.3">
      <c r="A24" s="4">
        <v>23</v>
      </c>
      <c r="B24" s="4">
        <v>59</v>
      </c>
      <c r="C24" s="4">
        <v>119</v>
      </c>
      <c r="D24" s="1" t="s">
        <v>93</v>
      </c>
      <c r="E24" s="1" t="s">
        <v>29</v>
      </c>
      <c r="F24" s="1" t="s">
        <v>94</v>
      </c>
      <c r="G24" s="2" t="s">
        <v>95</v>
      </c>
      <c r="H24" t="str">
        <f>_xlfn.XLOOKUP(Vet_Visits[[#This Row],[Charge_Code]],Charge_Reference!A:A,Charge_Reference!B:B)</f>
        <v>Vaccination</v>
      </c>
      <c r="I24" t="s">
        <v>55</v>
      </c>
      <c r="J24" s="3">
        <v>248.83539999999999</v>
      </c>
      <c r="K24" t="s">
        <v>7</v>
      </c>
    </row>
    <row r="25" spans="1:11" x14ac:dyDescent="0.3">
      <c r="A25" s="4">
        <v>24</v>
      </c>
      <c r="B25" s="4">
        <v>92</v>
      </c>
      <c r="C25" s="4">
        <v>138</v>
      </c>
      <c r="D25" s="1" t="s">
        <v>96</v>
      </c>
      <c r="E25" s="1" t="s">
        <v>41</v>
      </c>
      <c r="F25" s="1" t="s">
        <v>97</v>
      </c>
      <c r="G25" s="2" t="s">
        <v>98</v>
      </c>
      <c r="H25" t="str">
        <f>_xlfn.XLOOKUP(Vet_Visits[[#This Row],[Charge_Code]],Charge_Reference!A:A,Charge_Reference!B:B)</f>
        <v>Radiographs</v>
      </c>
      <c r="I25" t="s">
        <v>51</v>
      </c>
      <c r="J25" s="3">
        <v>-288.69110000000001</v>
      </c>
      <c r="K25" t="s">
        <v>7</v>
      </c>
    </row>
    <row r="26" spans="1:11" x14ac:dyDescent="0.3">
      <c r="A26" s="4">
        <v>25</v>
      </c>
      <c r="B26" s="4">
        <v>35</v>
      </c>
      <c r="C26" s="4">
        <v>114</v>
      </c>
      <c r="D26" s="1" t="s">
        <v>99</v>
      </c>
      <c r="E26" s="1" t="s">
        <v>41</v>
      </c>
      <c r="F26" s="1" t="s">
        <v>97</v>
      </c>
      <c r="G26" s="2" t="s">
        <v>100</v>
      </c>
      <c r="H26" t="str">
        <f>_xlfn.XLOOKUP(Vet_Visits[[#This Row],[Charge_Code]],Charge_Reference!A:A,Charge_Reference!B:B)</f>
        <v>Surgery</v>
      </c>
      <c r="I26" t="s">
        <v>32</v>
      </c>
      <c r="J26" s="3">
        <v>-63.622900000000001</v>
      </c>
      <c r="K26" t="s">
        <v>5</v>
      </c>
    </row>
    <row r="27" spans="1:11" x14ac:dyDescent="0.3">
      <c r="A27" s="4">
        <v>26</v>
      </c>
      <c r="B27" s="4">
        <v>21</v>
      </c>
      <c r="C27" s="4">
        <v>122</v>
      </c>
      <c r="D27" s="1" t="s">
        <v>101</v>
      </c>
      <c r="E27" s="1" t="s">
        <v>41</v>
      </c>
      <c r="F27" s="1" t="s">
        <v>102</v>
      </c>
      <c r="G27" s="2" t="s">
        <v>103</v>
      </c>
      <c r="H27" t="str">
        <f>_xlfn.XLOOKUP(Vet_Visits[[#This Row],[Charge_Code]],Charge_Reference!A:A,Charge_Reference!B:B)</f>
        <v>Emergency Visit</v>
      </c>
      <c r="I27" t="s">
        <v>36</v>
      </c>
      <c r="J27" s="3">
        <v>733.42840000000001</v>
      </c>
      <c r="K27" t="s">
        <v>5</v>
      </c>
    </row>
    <row r="28" spans="1:11" x14ac:dyDescent="0.3">
      <c r="A28" s="4">
        <v>27</v>
      </c>
      <c r="B28" s="4">
        <v>84</v>
      </c>
      <c r="C28" s="4">
        <v>34</v>
      </c>
      <c r="D28" s="1" t="s">
        <v>89</v>
      </c>
      <c r="E28" s="1" t="s">
        <v>29</v>
      </c>
      <c r="F28" s="1" t="s">
        <v>104</v>
      </c>
      <c r="G28" s="2" t="s">
        <v>105</v>
      </c>
      <c r="H28" t="str">
        <f>_xlfn.XLOOKUP(Vet_Visits[[#This Row],[Charge_Code]],Charge_Reference!A:A,Charge_Reference!B:B)</f>
        <v>Nail Trim</v>
      </c>
      <c r="I28" t="s">
        <v>64</v>
      </c>
      <c r="J28" s="3">
        <v>652.8297</v>
      </c>
      <c r="K28" t="s">
        <v>3</v>
      </c>
    </row>
    <row r="29" spans="1:11" x14ac:dyDescent="0.3">
      <c r="A29" s="4">
        <v>28</v>
      </c>
      <c r="B29" s="4">
        <v>47</v>
      </c>
      <c r="C29" s="4">
        <v>57</v>
      </c>
      <c r="D29" s="1" t="s">
        <v>70</v>
      </c>
      <c r="E29" s="1" t="s">
        <v>29</v>
      </c>
      <c r="F29" s="1" t="s">
        <v>45</v>
      </c>
      <c r="G29" s="2" t="s">
        <v>106</v>
      </c>
      <c r="H29" t="str">
        <f>_xlfn.XLOOKUP(Vet_Visits[[#This Row],[Charge_Code]],Charge_Reference!A:A,Charge_Reference!B:B)</f>
        <v>Annual Bloodwork</v>
      </c>
      <c r="I29" t="s">
        <v>40</v>
      </c>
      <c r="J29" s="3">
        <v>514.86339999999996</v>
      </c>
      <c r="K29" t="s">
        <v>7</v>
      </c>
    </row>
    <row r="30" spans="1:11" x14ac:dyDescent="0.3">
      <c r="A30" s="4">
        <v>29</v>
      </c>
      <c r="B30" s="4">
        <v>18</v>
      </c>
      <c r="C30" s="4">
        <v>104</v>
      </c>
      <c r="D30" s="1" t="s">
        <v>28</v>
      </c>
      <c r="E30" s="1" t="s">
        <v>29</v>
      </c>
      <c r="F30" s="1" t="s">
        <v>107</v>
      </c>
      <c r="G30" s="2" t="s">
        <v>108</v>
      </c>
      <c r="H30" t="str">
        <f>_xlfn.XLOOKUP(Vet_Visits[[#This Row],[Charge_Code]],Charge_Reference!A:A,Charge_Reference!B:B)</f>
        <v>Office Visit</v>
      </c>
      <c r="I30" t="s">
        <v>59</v>
      </c>
      <c r="J30" s="3">
        <v>6.1393000000000004</v>
      </c>
      <c r="K30" t="s">
        <v>7</v>
      </c>
    </row>
    <row r="31" spans="1:11" x14ac:dyDescent="0.3">
      <c r="A31" s="4">
        <v>30</v>
      </c>
      <c r="B31" s="4">
        <v>54</v>
      </c>
      <c r="C31" s="4">
        <v>79</v>
      </c>
      <c r="D31" s="1" t="s">
        <v>109</v>
      </c>
      <c r="E31" s="1" t="s">
        <v>29</v>
      </c>
      <c r="F31" s="1" t="s">
        <v>49</v>
      </c>
      <c r="G31" s="2" t="s">
        <v>110</v>
      </c>
      <c r="H31" t="str">
        <f>_xlfn.XLOOKUP(Vet_Visits[[#This Row],[Charge_Code]],Charge_Reference!A:A,Charge_Reference!B:B)</f>
        <v>Office Visit</v>
      </c>
      <c r="I31" t="s">
        <v>59</v>
      </c>
      <c r="J31" s="3">
        <v>112.3904</v>
      </c>
      <c r="K31" t="s">
        <v>3</v>
      </c>
    </row>
    <row r="32" spans="1:11" x14ac:dyDescent="0.3">
      <c r="A32" s="4">
        <v>31</v>
      </c>
      <c r="B32" s="4">
        <v>46</v>
      </c>
      <c r="C32" s="4">
        <v>147</v>
      </c>
      <c r="D32" s="1" t="s">
        <v>91</v>
      </c>
      <c r="E32" s="1" t="s">
        <v>29</v>
      </c>
      <c r="F32" s="1" t="s">
        <v>111</v>
      </c>
      <c r="G32" s="2" t="s">
        <v>112</v>
      </c>
      <c r="H32" t="str">
        <f>_xlfn.XLOOKUP(Vet_Visits[[#This Row],[Charge_Code]],Charge_Reference!A:A,Charge_Reference!B:B)</f>
        <v>Vaccination</v>
      </c>
      <c r="I32" t="s">
        <v>55</v>
      </c>
      <c r="J32" s="3">
        <v>777.28390000000002</v>
      </c>
      <c r="K32" t="s">
        <v>5</v>
      </c>
    </row>
    <row r="33" spans="1:11" x14ac:dyDescent="0.3">
      <c r="A33" s="4">
        <v>32</v>
      </c>
      <c r="B33" s="4">
        <v>137</v>
      </c>
      <c r="C33" s="4">
        <v>134</v>
      </c>
      <c r="D33" s="1" t="s">
        <v>113</v>
      </c>
      <c r="E33" s="1" t="s">
        <v>29</v>
      </c>
      <c r="F33" s="1" t="s">
        <v>38</v>
      </c>
      <c r="G33" s="2" t="s">
        <v>114</v>
      </c>
      <c r="H33" t="str">
        <f>_xlfn.XLOOKUP(Vet_Visits[[#This Row],[Charge_Code]],Charge_Reference!A:A,Charge_Reference!B:B)</f>
        <v>Vaccination</v>
      </c>
      <c r="I33" t="s">
        <v>55</v>
      </c>
      <c r="J33" s="3">
        <v>-96.376199999999997</v>
      </c>
      <c r="K33" t="s">
        <v>5</v>
      </c>
    </row>
    <row r="34" spans="1:11" x14ac:dyDescent="0.3">
      <c r="A34" s="4">
        <v>33</v>
      </c>
      <c r="B34" s="4">
        <v>146</v>
      </c>
      <c r="C34" s="4">
        <v>18</v>
      </c>
      <c r="D34" s="1" t="s">
        <v>115</v>
      </c>
      <c r="E34" s="1" t="s">
        <v>29</v>
      </c>
      <c r="F34" s="1" t="s">
        <v>116</v>
      </c>
      <c r="G34" s="2" t="s">
        <v>117</v>
      </c>
      <c r="H34" t="str">
        <f>_xlfn.XLOOKUP(Vet_Visits[[#This Row],[Charge_Code]],Charge_Reference!A:A,Charge_Reference!B:B)</f>
        <v>Emergency Visit</v>
      </c>
      <c r="I34" t="s">
        <v>36</v>
      </c>
      <c r="J34" s="3">
        <v>-80.761499999999998</v>
      </c>
      <c r="K34" t="s">
        <v>5</v>
      </c>
    </row>
    <row r="35" spans="1:11" x14ac:dyDescent="0.3">
      <c r="A35" s="4">
        <v>34</v>
      </c>
      <c r="B35" s="4">
        <v>38</v>
      </c>
      <c r="C35" s="4">
        <v>115</v>
      </c>
      <c r="D35" s="1" t="s">
        <v>65</v>
      </c>
      <c r="E35" s="1" t="s">
        <v>29</v>
      </c>
      <c r="F35" s="1" t="s">
        <v>118</v>
      </c>
      <c r="G35" s="2" t="s">
        <v>119</v>
      </c>
      <c r="H35" t="str">
        <f>_xlfn.XLOOKUP(Vet_Visits[[#This Row],[Charge_Code]],Charge_Reference!A:A,Charge_Reference!B:B)</f>
        <v>Emergency Visit</v>
      </c>
      <c r="I35" t="s">
        <v>36</v>
      </c>
      <c r="J35" s="3">
        <v>-113.2574</v>
      </c>
      <c r="K35" t="s">
        <v>5</v>
      </c>
    </row>
    <row r="36" spans="1:11" x14ac:dyDescent="0.3">
      <c r="A36" s="4">
        <v>35</v>
      </c>
      <c r="B36" s="4">
        <v>111</v>
      </c>
      <c r="C36" s="4">
        <v>119</v>
      </c>
      <c r="D36" s="1" t="s">
        <v>120</v>
      </c>
      <c r="E36" s="1" t="s">
        <v>41</v>
      </c>
      <c r="F36" s="1" t="s">
        <v>76</v>
      </c>
      <c r="G36" s="2" t="s">
        <v>121</v>
      </c>
      <c r="H36" t="str">
        <f>_xlfn.XLOOKUP(Vet_Visits[[#This Row],[Charge_Code]],Charge_Reference!A:A,Charge_Reference!B:B)</f>
        <v>Surgery</v>
      </c>
      <c r="I36" t="s">
        <v>32</v>
      </c>
      <c r="J36" s="3">
        <v>467.91059999999999</v>
      </c>
      <c r="K36" t="s">
        <v>5</v>
      </c>
    </row>
    <row r="37" spans="1:11" x14ac:dyDescent="0.3">
      <c r="A37" s="4">
        <v>36</v>
      </c>
      <c r="B37" s="4">
        <v>173</v>
      </c>
      <c r="C37" s="4">
        <v>136</v>
      </c>
      <c r="D37" s="1" t="s">
        <v>78</v>
      </c>
      <c r="E37" s="1" t="s">
        <v>41</v>
      </c>
      <c r="F37" s="1" t="s">
        <v>107</v>
      </c>
      <c r="G37" s="2" t="s">
        <v>122</v>
      </c>
      <c r="H37" t="str">
        <f>_xlfn.XLOOKUP(Vet_Visits[[#This Row],[Charge_Code]],Charge_Reference!A:A,Charge_Reference!B:B)</f>
        <v>Surgery</v>
      </c>
      <c r="I37" t="s">
        <v>32</v>
      </c>
      <c r="J37" s="3">
        <v>351.74669999999998</v>
      </c>
      <c r="K37" t="s">
        <v>7</v>
      </c>
    </row>
    <row r="38" spans="1:11" x14ac:dyDescent="0.3">
      <c r="A38" s="4">
        <v>37</v>
      </c>
      <c r="B38" s="4">
        <v>159</v>
      </c>
      <c r="C38" s="4">
        <v>147</v>
      </c>
      <c r="D38" s="1" t="s">
        <v>81</v>
      </c>
      <c r="E38" s="1" t="s">
        <v>41</v>
      </c>
      <c r="F38" s="1" t="s">
        <v>30</v>
      </c>
      <c r="G38" s="2" t="s">
        <v>123</v>
      </c>
      <c r="H38" t="str">
        <f>_xlfn.XLOOKUP(Vet_Visits[[#This Row],[Charge_Code]],Charge_Reference!A:A,Charge_Reference!B:B)</f>
        <v>Emergency Visit</v>
      </c>
      <c r="I38" t="s">
        <v>36</v>
      </c>
      <c r="J38" s="3">
        <v>-250.7664</v>
      </c>
      <c r="K38" t="s">
        <v>5</v>
      </c>
    </row>
    <row r="39" spans="1:11" x14ac:dyDescent="0.3">
      <c r="A39" s="4">
        <v>38</v>
      </c>
      <c r="B39" s="4">
        <v>193</v>
      </c>
      <c r="C39" s="4">
        <v>58</v>
      </c>
      <c r="D39" s="1" t="s">
        <v>81</v>
      </c>
      <c r="E39" s="1" t="s">
        <v>29</v>
      </c>
      <c r="F39" s="1" t="s">
        <v>73</v>
      </c>
      <c r="G39" s="2" t="s">
        <v>124</v>
      </c>
      <c r="H39" t="str">
        <f>_xlfn.XLOOKUP(Vet_Visits[[#This Row],[Charge_Code]],Charge_Reference!A:A,Charge_Reference!B:B)</f>
        <v>Emergency Visit</v>
      </c>
      <c r="I39" t="s">
        <v>36</v>
      </c>
      <c r="J39" s="3">
        <v>-29.6434</v>
      </c>
      <c r="K39" t="s">
        <v>3</v>
      </c>
    </row>
    <row r="40" spans="1:11" x14ac:dyDescent="0.3">
      <c r="A40" s="4">
        <v>39</v>
      </c>
      <c r="B40" s="4">
        <v>142</v>
      </c>
      <c r="C40" s="4">
        <v>82</v>
      </c>
      <c r="D40" s="1" t="s">
        <v>37</v>
      </c>
      <c r="E40" s="1" t="s">
        <v>29</v>
      </c>
      <c r="F40" s="1" t="s">
        <v>82</v>
      </c>
      <c r="G40" s="2" t="s">
        <v>125</v>
      </c>
      <c r="H40" t="str">
        <f>_xlfn.XLOOKUP(Vet_Visits[[#This Row],[Charge_Code]],Charge_Reference!A:A,Charge_Reference!B:B)</f>
        <v>Nail Trim</v>
      </c>
      <c r="I40" t="s">
        <v>64</v>
      </c>
      <c r="J40" s="3">
        <v>249.845</v>
      </c>
      <c r="K40" t="s">
        <v>7</v>
      </c>
    </row>
    <row r="41" spans="1:11" x14ac:dyDescent="0.3">
      <c r="A41" s="4">
        <v>40</v>
      </c>
      <c r="B41" s="4">
        <v>50</v>
      </c>
      <c r="C41" s="4">
        <v>108</v>
      </c>
      <c r="D41" s="1" t="s">
        <v>126</v>
      </c>
      <c r="E41" s="1" t="s">
        <v>29</v>
      </c>
      <c r="F41" s="1" t="s">
        <v>94</v>
      </c>
      <c r="G41" s="2" t="s">
        <v>127</v>
      </c>
      <c r="H41" t="str">
        <f>_xlfn.XLOOKUP(Vet_Visits[[#This Row],[Charge_Code]],Charge_Reference!A:A,Charge_Reference!B:B)</f>
        <v>Radiographs</v>
      </c>
      <c r="I41" t="s">
        <v>51</v>
      </c>
      <c r="J41" s="3">
        <v>923.01400000000001</v>
      </c>
      <c r="K41" t="s">
        <v>5</v>
      </c>
    </row>
    <row r="42" spans="1:11" x14ac:dyDescent="0.3">
      <c r="A42" s="4">
        <v>41</v>
      </c>
      <c r="B42" s="4">
        <v>32</v>
      </c>
      <c r="C42" s="4">
        <v>142</v>
      </c>
      <c r="D42" s="1" t="s">
        <v>128</v>
      </c>
      <c r="E42" s="1" t="s">
        <v>29</v>
      </c>
      <c r="F42" s="1" t="s">
        <v>34</v>
      </c>
      <c r="G42" s="2" t="s">
        <v>129</v>
      </c>
      <c r="H42" t="str">
        <f>_xlfn.XLOOKUP(Vet_Visits[[#This Row],[Charge_Code]],Charge_Reference!A:A,Charge_Reference!B:B)</f>
        <v>Office Visit</v>
      </c>
      <c r="I42" t="s">
        <v>59</v>
      </c>
      <c r="J42" s="3">
        <v>453.3372</v>
      </c>
      <c r="K42" t="s">
        <v>3</v>
      </c>
    </row>
    <row r="43" spans="1:11" x14ac:dyDescent="0.3">
      <c r="A43" s="4">
        <v>42</v>
      </c>
      <c r="B43" s="4">
        <v>36</v>
      </c>
      <c r="C43" s="4">
        <v>71</v>
      </c>
      <c r="D43" s="1" t="s">
        <v>130</v>
      </c>
      <c r="E43" s="1" t="s">
        <v>41</v>
      </c>
      <c r="F43" s="1" t="s">
        <v>97</v>
      </c>
      <c r="G43" s="2" t="s">
        <v>50</v>
      </c>
      <c r="H43" t="str">
        <f>_xlfn.XLOOKUP(Vet_Visits[[#This Row],[Charge_Code]],Charge_Reference!A:A,Charge_Reference!B:B)</f>
        <v>Vaccination</v>
      </c>
      <c r="I43" t="s">
        <v>55</v>
      </c>
      <c r="J43" s="3">
        <v>338.14049999999997</v>
      </c>
      <c r="K43" t="s">
        <v>7</v>
      </c>
    </row>
    <row r="44" spans="1:11" x14ac:dyDescent="0.3">
      <c r="A44" s="4">
        <v>43</v>
      </c>
      <c r="B44" s="4">
        <v>7</v>
      </c>
      <c r="C44" s="4">
        <v>91</v>
      </c>
      <c r="D44" s="1" t="s">
        <v>120</v>
      </c>
      <c r="E44" s="1" t="s">
        <v>29</v>
      </c>
      <c r="F44" s="1" t="s">
        <v>131</v>
      </c>
      <c r="G44" s="2" t="s">
        <v>132</v>
      </c>
      <c r="H44" t="str">
        <f>_xlfn.XLOOKUP(Vet_Visits[[#This Row],[Charge_Code]],Charge_Reference!A:A,Charge_Reference!B:B)</f>
        <v>Emergency Visit</v>
      </c>
      <c r="I44" t="s">
        <v>36</v>
      </c>
      <c r="J44" s="3">
        <v>177.42599999999999</v>
      </c>
      <c r="K44" t="s">
        <v>7</v>
      </c>
    </row>
    <row r="45" spans="1:11" x14ac:dyDescent="0.3">
      <c r="A45" s="4">
        <v>44</v>
      </c>
      <c r="B45" s="4">
        <v>93</v>
      </c>
      <c r="C45" s="4">
        <v>21</v>
      </c>
      <c r="D45" s="1" t="s">
        <v>78</v>
      </c>
      <c r="E45" s="1" t="s">
        <v>41</v>
      </c>
      <c r="F45" s="1" t="s">
        <v>97</v>
      </c>
      <c r="G45" s="2" t="s">
        <v>133</v>
      </c>
      <c r="H45" t="str">
        <f>_xlfn.XLOOKUP(Vet_Visits[[#This Row],[Charge_Code]],Charge_Reference!A:A,Charge_Reference!B:B)</f>
        <v>Dental Cleaning</v>
      </c>
      <c r="I45" t="s">
        <v>47</v>
      </c>
      <c r="J45" s="3">
        <v>-244.16659999999999</v>
      </c>
      <c r="K45" t="s">
        <v>3</v>
      </c>
    </row>
    <row r="46" spans="1:11" x14ac:dyDescent="0.3">
      <c r="A46" s="4">
        <v>45</v>
      </c>
      <c r="B46" s="4">
        <v>20</v>
      </c>
      <c r="C46" s="4">
        <v>145</v>
      </c>
      <c r="D46" s="1" t="s">
        <v>68</v>
      </c>
      <c r="E46" s="1" t="s">
        <v>41</v>
      </c>
      <c r="F46" s="1" t="s">
        <v>94</v>
      </c>
      <c r="G46" s="2" t="s">
        <v>134</v>
      </c>
      <c r="H46" t="str">
        <f>_xlfn.XLOOKUP(Vet_Visits[[#This Row],[Charge_Code]],Charge_Reference!A:A,Charge_Reference!B:B)</f>
        <v>Office Visit</v>
      </c>
      <c r="I46" t="s">
        <v>59</v>
      </c>
      <c r="J46" s="3">
        <v>-258.68130000000002</v>
      </c>
      <c r="K46" t="s">
        <v>5</v>
      </c>
    </row>
    <row r="47" spans="1:11" x14ac:dyDescent="0.3">
      <c r="A47" s="4">
        <v>46</v>
      </c>
      <c r="B47" s="4">
        <v>7</v>
      </c>
      <c r="C47" s="4">
        <v>27</v>
      </c>
      <c r="D47" s="1" t="s">
        <v>70</v>
      </c>
      <c r="E47" s="1" t="s">
        <v>29</v>
      </c>
      <c r="F47" s="1" t="s">
        <v>135</v>
      </c>
      <c r="G47" s="2" t="s">
        <v>136</v>
      </c>
      <c r="H47" t="str">
        <f>_xlfn.XLOOKUP(Vet_Visits[[#This Row],[Charge_Code]],Charge_Reference!A:A,Charge_Reference!B:B)</f>
        <v>Office Visit</v>
      </c>
      <c r="I47" t="s">
        <v>59</v>
      </c>
      <c r="J47" s="3">
        <v>-16.712499999999999</v>
      </c>
      <c r="K47" t="s">
        <v>5</v>
      </c>
    </row>
    <row r="48" spans="1:11" x14ac:dyDescent="0.3">
      <c r="A48" s="4">
        <v>47</v>
      </c>
      <c r="B48" s="4">
        <v>75</v>
      </c>
      <c r="C48" s="4">
        <v>86</v>
      </c>
      <c r="D48" s="1" t="s">
        <v>70</v>
      </c>
      <c r="E48" s="1" t="s">
        <v>41</v>
      </c>
      <c r="F48" s="1" t="s">
        <v>66</v>
      </c>
      <c r="G48" s="2" t="s">
        <v>137</v>
      </c>
      <c r="H48" t="str">
        <f>_xlfn.XLOOKUP(Vet_Visits[[#This Row],[Charge_Code]],Charge_Reference!A:A,Charge_Reference!B:B)</f>
        <v>Vaccination</v>
      </c>
      <c r="I48" t="s">
        <v>55</v>
      </c>
      <c r="J48" s="3">
        <v>550.25019999999995</v>
      </c>
      <c r="K48" t="s">
        <v>5</v>
      </c>
    </row>
    <row r="49" spans="1:11" x14ac:dyDescent="0.3">
      <c r="A49" s="4">
        <v>48</v>
      </c>
      <c r="B49" s="4">
        <v>23</v>
      </c>
      <c r="C49" s="4">
        <v>117</v>
      </c>
      <c r="D49" s="1" t="s">
        <v>120</v>
      </c>
      <c r="E49" s="1" t="s">
        <v>41</v>
      </c>
      <c r="F49" s="1" t="s">
        <v>53</v>
      </c>
      <c r="G49" s="2" t="s">
        <v>138</v>
      </c>
      <c r="H49" t="str">
        <f>_xlfn.XLOOKUP(Vet_Visits[[#This Row],[Charge_Code]],Charge_Reference!A:A,Charge_Reference!B:B)</f>
        <v>Office Visit</v>
      </c>
      <c r="I49" t="s">
        <v>59</v>
      </c>
      <c r="J49" s="3">
        <v>-256.26909999999998</v>
      </c>
      <c r="K49" t="s">
        <v>3</v>
      </c>
    </row>
    <row r="50" spans="1:11" x14ac:dyDescent="0.3">
      <c r="A50" s="4">
        <v>49</v>
      </c>
      <c r="B50" s="4">
        <v>127</v>
      </c>
      <c r="C50" s="4">
        <v>61</v>
      </c>
      <c r="D50" s="1" t="s">
        <v>139</v>
      </c>
      <c r="E50" s="1" t="s">
        <v>41</v>
      </c>
      <c r="F50" s="1" t="s">
        <v>131</v>
      </c>
      <c r="G50" s="2" t="s">
        <v>140</v>
      </c>
      <c r="H50" t="str">
        <f>_xlfn.XLOOKUP(Vet_Visits[[#This Row],[Charge_Code]],Charge_Reference!A:A,Charge_Reference!B:B)</f>
        <v>Nail Trim</v>
      </c>
      <c r="I50" t="s">
        <v>64</v>
      </c>
      <c r="J50" s="3">
        <v>785.48889999999994</v>
      </c>
      <c r="K50" t="s">
        <v>5</v>
      </c>
    </row>
    <row r="51" spans="1:11" x14ac:dyDescent="0.3">
      <c r="A51" s="4">
        <v>50</v>
      </c>
      <c r="B51" s="4">
        <v>128</v>
      </c>
      <c r="C51" s="4">
        <v>29</v>
      </c>
      <c r="D51" s="1" t="s">
        <v>89</v>
      </c>
      <c r="E51" s="1" t="s">
        <v>41</v>
      </c>
      <c r="F51" s="1" t="s">
        <v>38</v>
      </c>
      <c r="G51" s="2" t="s">
        <v>141</v>
      </c>
      <c r="H51" t="str">
        <f>_xlfn.XLOOKUP(Vet_Visits[[#This Row],[Charge_Code]],Charge_Reference!A:A,Charge_Reference!B:B)</f>
        <v>Vaccination</v>
      </c>
      <c r="I51" t="s">
        <v>55</v>
      </c>
      <c r="J51" s="3">
        <v>-125.916</v>
      </c>
      <c r="K51" t="s">
        <v>3</v>
      </c>
    </row>
    <row r="52" spans="1:11" x14ac:dyDescent="0.3">
      <c r="A52" s="4">
        <v>51</v>
      </c>
      <c r="B52" s="4">
        <v>143</v>
      </c>
      <c r="C52" s="4">
        <v>77</v>
      </c>
      <c r="D52" s="1" t="s">
        <v>142</v>
      </c>
      <c r="E52" s="1" t="s">
        <v>41</v>
      </c>
      <c r="F52" s="1" t="s">
        <v>107</v>
      </c>
      <c r="G52" s="2" t="s">
        <v>143</v>
      </c>
      <c r="H52" t="str">
        <f>_xlfn.XLOOKUP(Vet_Visits[[#This Row],[Charge_Code]],Charge_Reference!A:A,Charge_Reference!B:B)</f>
        <v>Office Visit</v>
      </c>
      <c r="I52" t="s">
        <v>59</v>
      </c>
      <c r="J52" s="3">
        <v>135.88939999999999</v>
      </c>
      <c r="K52" t="s">
        <v>5</v>
      </c>
    </row>
    <row r="53" spans="1:11" x14ac:dyDescent="0.3">
      <c r="A53" s="4">
        <v>52</v>
      </c>
      <c r="B53" s="4">
        <v>192</v>
      </c>
      <c r="C53" s="4">
        <v>49</v>
      </c>
      <c r="D53" s="1" t="s">
        <v>120</v>
      </c>
      <c r="E53" s="1" t="s">
        <v>41</v>
      </c>
      <c r="F53" s="1" t="s">
        <v>61</v>
      </c>
      <c r="G53" s="2" t="s">
        <v>144</v>
      </c>
      <c r="H53" t="str">
        <f>_xlfn.XLOOKUP(Vet_Visits[[#This Row],[Charge_Code]],Charge_Reference!A:A,Charge_Reference!B:B)</f>
        <v>Nail Trim</v>
      </c>
      <c r="I53" t="s">
        <v>64</v>
      </c>
      <c r="J53" s="3">
        <v>-219.43379999999999</v>
      </c>
      <c r="K53" t="s">
        <v>5</v>
      </c>
    </row>
    <row r="54" spans="1:11" x14ac:dyDescent="0.3">
      <c r="A54" s="4">
        <v>53</v>
      </c>
      <c r="B54" s="4">
        <v>75</v>
      </c>
      <c r="C54" s="4">
        <v>14</v>
      </c>
      <c r="D54" s="1" t="s">
        <v>120</v>
      </c>
      <c r="E54" s="1" t="s">
        <v>41</v>
      </c>
      <c r="F54" s="1" t="s">
        <v>145</v>
      </c>
      <c r="G54" s="2" t="s">
        <v>146</v>
      </c>
      <c r="H54" t="str">
        <f>_xlfn.XLOOKUP(Vet_Visits[[#This Row],[Charge_Code]],Charge_Reference!A:A,Charge_Reference!B:B)</f>
        <v>Nail Trim</v>
      </c>
      <c r="I54" t="s">
        <v>64</v>
      </c>
      <c r="J54" s="3">
        <v>643.41369999999995</v>
      </c>
      <c r="K54" t="s">
        <v>5</v>
      </c>
    </row>
    <row r="55" spans="1:11" x14ac:dyDescent="0.3">
      <c r="A55" s="4">
        <v>54</v>
      </c>
      <c r="B55" s="4">
        <v>191</v>
      </c>
      <c r="C55" s="4">
        <v>33</v>
      </c>
      <c r="D55" s="1" t="s">
        <v>28</v>
      </c>
      <c r="E55" s="1" t="s">
        <v>41</v>
      </c>
      <c r="F55" s="1" t="s">
        <v>131</v>
      </c>
      <c r="G55" s="2" t="s">
        <v>133</v>
      </c>
      <c r="H55" t="str">
        <f>_xlfn.XLOOKUP(Vet_Visits[[#This Row],[Charge_Code]],Charge_Reference!A:A,Charge_Reference!B:B)</f>
        <v>Emergency Visit</v>
      </c>
      <c r="I55" t="s">
        <v>36</v>
      </c>
      <c r="J55" s="3">
        <v>529.73260000000005</v>
      </c>
      <c r="K55" t="s">
        <v>5</v>
      </c>
    </row>
    <row r="56" spans="1:11" x14ac:dyDescent="0.3">
      <c r="A56" s="4">
        <v>55</v>
      </c>
      <c r="B56" s="4">
        <v>200</v>
      </c>
      <c r="C56" s="4">
        <v>65</v>
      </c>
      <c r="D56" s="1" t="s">
        <v>147</v>
      </c>
      <c r="E56" s="1" t="s">
        <v>41</v>
      </c>
      <c r="F56" s="1" t="s">
        <v>61</v>
      </c>
      <c r="G56" s="2" t="s">
        <v>148</v>
      </c>
      <c r="H56" t="str">
        <f>_xlfn.XLOOKUP(Vet_Visits[[#This Row],[Charge_Code]],Charge_Reference!A:A,Charge_Reference!B:B)</f>
        <v>Emergency Visit</v>
      </c>
      <c r="I56" t="s">
        <v>36</v>
      </c>
      <c r="J56" s="3">
        <v>-199.5264</v>
      </c>
      <c r="K56" t="s">
        <v>5</v>
      </c>
    </row>
    <row r="57" spans="1:11" x14ac:dyDescent="0.3">
      <c r="A57" s="4">
        <v>56</v>
      </c>
      <c r="B57" s="4">
        <v>152</v>
      </c>
      <c r="C57" s="4">
        <v>42</v>
      </c>
      <c r="D57" s="1" t="s">
        <v>149</v>
      </c>
      <c r="E57" s="1" t="s">
        <v>41</v>
      </c>
      <c r="F57" s="1" t="s">
        <v>97</v>
      </c>
      <c r="G57" s="2" t="s">
        <v>150</v>
      </c>
      <c r="H57" t="str">
        <f>_xlfn.XLOOKUP(Vet_Visits[[#This Row],[Charge_Code]],Charge_Reference!A:A,Charge_Reference!B:B)</f>
        <v>Vaccination</v>
      </c>
      <c r="I57" t="s">
        <v>55</v>
      </c>
      <c r="J57" s="3">
        <v>-256.82279999999997</v>
      </c>
      <c r="K57" t="s">
        <v>5</v>
      </c>
    </row>
    <row r="58" spans="1:11" x14ac:dyDescent="0.3">
      <c r="A58" s="4">
        <v>57</v>
      </c>
      <c r="B58" s="4">
        <v>41</v>
      </c>
      <c r="C58" s="4">
        <v>53</v>
      </c>
      <c r="D58" s="1" t="s">
        <v>96</v>
      </c>
      <c r="E58" s="1" t="s">
        <v>29</v>
      </c>
      <c r="F58" s="1" t="s">
        <v>151</v>
      </c>
      <c r="G58" s="2" t="s">
        <v>152</v>
      </c>
      <c r="H58" t="str">
        <f>_xlfn.XLOOKUP(Vet_Visits[[#This Row],[Charge_Code]],Charge_Reference!A:A,Charge_Reference!B:B)</f>
        <v>Emergency Visit</v>
      </c>
      <c r="I58" t="s">
        <v>36</v>
      </c>
      <c r="J58" s="3">
        <v>742.71910000000003</v>
      </c>
      <c r="K58" t="s">
        <v>7</v>
      </c>
    </row>
    <row r="59" spans="1:11" x14ac:dyDescent="0.3">
      <c r="A59" s="4">
        <v>58</v>
      </c>
      <c r="B59" s="4">
        <v>118</v>
      </c>
      <c r="C59" s="4">
        <v>79</v>
      </c>
      <c r="D59" s="1" t="s">
        <v>81</v>
      </c>
      <c r="E59" s="1" t="s">
        <v>29</v>
      </c>
      <c r="F59" s="1" t="s">
        <v>102</v>
      </c>
      <c r="G59" s="2" t="s">
        <v>153</v>
      </c>
      <c r="H59" t="str">
        <f>_xlfn.XLOOKUP(Vet_Visits[[#This Row],[Charge_Code]],Charge_Reference!A:A,Charge_Reference!B:B)</f>
        <v>Surgery</v>
      </c>
      <c r="I59" t="s">
        <v>32</v>
      </c>
      <c r="J59" s="3">
        <v>-25.616199999999999</v>
      </c>
      <c r="K59" t="s">
        <v>5</v>
      </c>
    </row>
    <row r="60" spans="1:11" x14ac:dyDescent="0.3">
      <c r="A60" s="4">
        <v>59</v>
      </c>
      <c r="B60" s="4">
        <v>99</v>
      </c>
      <c r="C60" s="4">
        <v>134</v>
      </c>
      <c r="D60" s="1" t="s">
        <v>154</v>
      </c>
      <c r="E60" s="1" t="s">
        <v>29</v>
      </c>
      <c r="F60" s="1" t="s">
        <v>30</v>
      </c>
      <c r="G60" s="2" t="s">
        <v>155</v>
      </c>
      <c r="H60" t="str">
        <f>_xlfn.XLOOKUP(Vet_Visits[[#This Row],[Charge_Code]],Charge_Reference!A:A,Charge_Reference!B:B)</f>
        <v>Radiographs</v>
      </c>
      <c r="I60" t="s">
        <v>51</v>
      </c>
      <c r="J60" s="3">
        <v>785.63409999999999</v>
      </c>
      <c r="K60" t="s">
        <v>7</v>
      </c>
    </row>
    <row r="61" spans="1:11" x14ac:dyDescent="0.3">
      <c r="A61" s="4">
        <v>60</v>
      </c>
      <c r="B61" s="4">
        <v>38</v>
      </c>
      <c r="C61" s="4">
        <v>10</v>
      </c>
      <c r="D61" s="1" t="s">
        <v>37</v>
      </c>
      <c r="E61" s="1" t="s">
        <v>41</v>
      </c>
      <c r="F61" s="1" t="s">
        <v>45</v>
      </c>
      <c r="G61" s="2" t="s">
        <v>156</v>
      </c>
      <c r="H61" t="str">
        <f>_xlfn.XLOOKUP(Vet_Visits[[#This Row],[Charge_Code]],Charge_Reference!A:A,Charge_Reference!B:B)</f>
        <v>Nail Trim</v>
      </c>
      <c r="I61" t="s">
        <v>64</v>
      </c>
      <c r="J61" s="3">
        <v>773.23950000000002</v>
      </c>
      <c r="K61" t="s">
        <v>5</v>
      </c>
    </row>
    <row r="62" spans="1:11" x14ac:dyDescent="0.3">
      <c r="A62" s="4">
        <v>61</v>
      </c>
      <c r="B62" s="4">
        <v>38</v>
      </c>
      <c r="C62" s="4">
        <v>34</v>
      </c>
      <c r="D62" s="1" t="s">
        <v>78</v>
      </c>
      <c r="E62" s="1" t="s">
        <v>41</v>
      </c>
      <c r="F62" s="1" t="s">
        <v>34</v>
      </c>
      <c r="G62" s="2" t="s">
        <v>157</v>
      </c>
      <c r="H62" t="str">
        <f>_xlfn.XLOOKUP(Vet_Visits[[#This Row],[Charge_Code]],Charge_Reference!A:A,Charge_Reference!B:B)</f>
        <v>Vaccination</v>
      </c>
      <c r="I62" t="s">
        <v>55</v>
      </c>
      <c r="J62" s="3">
        <v>-20.602699999999999</v>
      </c>
      <c r="K62" t="s">
        <v>3</v>
      </c>
    </row>
    <row r="63" spans="1:11" x14ac:dyDescent="0.3">
      <c r="A63" s="4">
        <v>62</v>
      </c>
      <c r="B63" s="4">
        <v>83</v>
      </c>
      <c r="C63" s="4">
        <v>132</v>
      </c>
      <c r="D63" s="1" t="s">
        <v>158</v>
      </c>
      <c r="E63" s="1" t="s">
        <v>29</v>
      </c>
      <c r="F63" s="1" t="s">
        <v>94</v>
      </c>
      <c r="G63" s="2" t="s">
        <v>159</v>
      </c>
      <c r="H63" t="str">
        <f>_xlfn.XLOOKUP(Vet_Visits[[#This Row],[Charge_Code]],Charge_Reference!A:A,Charge_Reference!B:B)</f>
        <v>Emergency Visit</v>
      </c>
      <c r="I63" t="s">
        <v>36</v>
      </c>
      <c r="J63" s="3">
        <v>446.61790000000002</v>
      </c>
      <c r="K63" t="s">
        <v>5</v>
      </c>
    </row>
    <row r="64" spans="1:11" x14ac:dyDescent="0.3">
      <c r="A64" s="4">
        <v>63</v>
      </c>
      <c r="B64" s="4">
        <v>89</v>
      </c>
      <c r="C64" s="4">
        <v>107</v>
      </c>
      <c r="D64" s="1" t="s">
        <v>115</v>
      </c>
      <c r="E64" s="1" t="s">
        <v>41</v>
      </c>
      <c r="F64" s="1" t="s">
        <v>107</v>
      </c>
      <c r="G64" s="2" t="s">
        <v>105</v>
      </c>
      <c r="H64" t="str">
        <f>_xlfn.XLOOKUP(Vet_Visits[[#This Row],[Charge_Code]],Charge_Reference!A:A,Charge_Reference!B:B)</f>
        <v>Dental Cleaning</v>
      </c>
      <c r="I64" t="s">
        <v>47</v>
      </c>
      <c r="J64" s="3">
        <v>915.48050000000001</v>
      </c>
      <c r="K64" t="s">
        <v>7</v>
      </c>
    </row>
    <row r="65" spans="1:11" x14ac:dyDescent="0.3">
      <c r="A65" s="4">
        <v>64</v>
      </c>
      <c r="B65" s="4">
        <v>151</v>
      </c>
      <c r="C65" s="4">
        <v>98</v>
      </c>
      <c r="D65" s="1" t="s">
        <v>33</v>
      </c>
      <c r="E65" s="1" t="s">
        <v>29</v>
      </c>
      <c r="F65" s="1" t="s">
        <v>160</v>
      </c>
      <c r="G65" s="2" t="s">
        <v>161</v>
      </c>
      <c r="H65" t="str">
        <f>_xlfn.XLOOKUP(Vet_Visits[[#This Row],[Charge_Code]],Charge_Reference!A:A,Charge_Reference!B:B)</f>
        <v>Radiographs</v>
      </c>
      <c r="I65" t="s">
        <v>51</v>
      </c>
      <c r="J65" s="3">
        <v>-287.96890000000002</v>
      </c>
      <c r="K65" t="s">
        <v>7</v>
      </c>
    </row>
    <row r="66" spans="1:11" x14ac:dyDescent="0.3">
      <c r="A66" s="4">
        <v>65</v>
      </c>
      <c r="B66" s="4">
        <v>164</v>
      </c>
      <c r="C66" s="4">
        <v>77</v>
      </c>
      <c r="D66" s="1" t="s">
        <v>162</v>
      </c>
      <c r="E66" s="1" t="s">
        <v>41</v>
      </c>
      <c r="F66" s="1" t="s">
        <v>97</v>
      </c>
      <c r="G66" s="2" t="s">
        <v>163</v>
      </c>
      <c r="H66" t="str">
        <f>_xlfn.XLOOKUP(Vet_Visits[[#This Row],[Charge_Code]],Charge_Reference!A:A,Charge_Reference!B:B)</f>
        <v>Annual Bloodwork</v>
      </c>
      <c r="I66" t="s">
        <v>40</v>
      </c>
      <c r="J66" s="3">
        <v>353.38470000000001</v>
      </c>
      <c r="K66" t="s">
        <v>3</v>
      </c>
    </row>
    <row r="67" spans="1:11" x14ac:dyDescent="0.3">
      <c r="A67" s="4">
        <v>66</v>
      </c>
      <c r="B67" s="4">
        <v>124</v>
      </c>
      <c r="C67" s="4">
        <v>100</v>
      </c>
      <c r="D67" s="1" t="s">
        <v>139</v>
      </c>
      <c r="E67" s="1" t="s">
        <v>41</v>
      </c>
      <c r="F67" s="1" t="s">
        <v>94</v>
      </c>
      <c r="G67" s="2" t="s">
        <v>164</v>
      </c>
      <c r="H67" t="str">
        <f>_xlfn.XLOOKUP(Vet_Visits[[#This Row],[Charge_Code]],Charge_Reference!A:A,Charge_Reference!B:B)</f>
        <v>Nail Trim</v>
      </c>
      <c r="I67" t="s">
        <v>64</v>
      </c>
      <c r="J67" s="3">
        <v>45.528799999999997</v>
      </c>
      <c r="K67" t="s">
        <v>5</v>
      </c>
    </row>
    <row r="68" spans="1:11" x14ac:dyDescent="0.3">
      <c r="A68" s="4">
        <v>67</v>
      </c>
      <c r="B68" s="4">
        <v>186</v>
      </c>
      <c r="C68" s="4">
        <v>63</v>
      </c>
      <c r="D68" s="1" t="s">
        <v>33</v>
      </c>
      <c r="E68" s="1" t="s">
        <v>41</v>
      </c>
      <c r="F68" s="1" t="s">
        <v>71</v>
      </c>
      <c r="G68" s="2" t="s">
        <v>165</v>
      </c>
      <c r="H68" t="str">
        <f>_xlfn.XLOOKUP(Vet_Visits[[#This Row],[Charge_Code]],Charge_Reference!A:A,Charge_Reference!B:B)</f>
        <v>Surgery</v>
      </c>
      <c r="I68" t="s">
        <v>32</v>
      </c>
      <c r="J68" s="3">
        <v>573.40300000000002</v>
      </c>
      <c r="K68" t="s">
        <v>5</v>
      </c>
    </row>
    <row r="69" spans="1:11" x14ac:dyDescent="0.3">
      <c r="A69" s="4">
        <v>68</v>
      </c>
      <c r="B69" s="4">
        <v>115</v>
      </c>
      <c r="C69" s="4">
        <v>126</v>
      </c>
      <c r="D69" s="1" t="s">
        <v>158</v>
      </c>
      <c r="E69" s="1" t="s">
        <v>29</v>
      </c>
      <c r="F69" s="1" t="s">
        <v>151</v>
      </c>
      <c r="G69" s="2" t="s">
        <v>166</v>
      </c>
      <c r="H69" t="str">
        <f>_xlfn.XLOOKUP(Vet_Visits[[#This Row],[Charge_Code]],Charge_Reference!A:A,Charge_Reference!B:B)</f>
        <v>Dental Cleaning</v>
      </c>
      <c r="I69" t="s">
        <v>47</v>
      </c>
      <c r="J69" s="3">
        <v>-237.63839999999999</v>
      </c>
      <c r="K69" t="s">
        <v>3</v>
      </c>
    </row>
    <row r="70" spans="1:11" x14ac:dyDescent="0.3">
      <c r="A70" s="4">
        <v>69</v>
      </c>
      <c r="B70" s="4">
        <v>152</v>
      </c>
      <c r="C70" s="4">
        <v>68</v>
      </c>
      <c r="D70" s="1" t="s">
        <v>139</v>
      </c>
      <c r="E70" s="1" t="s">
        <v>41</v>
      </c>
      <c r="F70" s="1" t="s">
        <v>94</v>
      </c>
      <c r="G70" s="2" t="s">
        <v>167</v>
      </c>
      <c r="H70" t="str">
        <f>_xlfn.XLOOKUP(Vet_Visits[[#This Row],[Charge_Code]],Charge_Reference!A:A,Charge_Reference!B:B)</f>
        <v>Vaccination</v>
      </c>
      <c r="I70" t="s">
        <v>55</v>
      </c>
      <c r="J70" s="3">
        <v>-217.32579999999999</v>
      </c>
      <c r="K70" t="s">
        <v>7</v>
      </c>
    </row>
    <row r="71" spans="1:11" x14ac:dyDescent="0.3">
      <c r="A71" s="4">
        <v>70</v>
      </c>
      <c r="B71" s="4">
        <v>109</v>
      </c>
      <c r="C71" s="4">
        <v>40</v>
      </c>
      <c r="D71" s="1" t="s">
        <v>91</v>
      </c>
      <c r="E71" s="1" t="s">
        <v>41</v>
      </c>
      <c r="F71" s="1" t="s">
        <v>73</v>
      </c>
      <c r="G71" s="2" t="s">
        <v>168</v>
      </c>
      <c r="H71" t="str">
        <f>_xlfn.XLOOKUP(Vet_Visits[[#This Row],[Charge_Code]],Charge_Reference!A:A,Charge_Reference!B:B)</f>
        <v>Office Visit</v>
      </c>
      <c r="I71" t="s">
        <v>59</v>
      </c>
      <c r="J71" s="3">
        <v>165.2636</v>
      </c>
      <c r="K71" t="s">
        <v>5</v>
      </c>
    </row>
    <row r="72" spans="1:11" x14ac:dyDescent="0.3">
      <c r="A72" s="4">
        <v>71</v>
      </c>
      <c r="B72" s="4">
        <v>80</v>
      </c>
      <c r="C72" s="4">
        <v>28</v>
      </c>
      <c r="D72" s="1" t="s">
        <v>126</v>
      </c>
      <c r="E72" s="1" t="s">
        <v>41</v>
      </c>
      <c r="F72" s="1" t="s">
        <v>131</v>
      </c>
      <c r="G72" s="2" t="s">
        <v>169</v>
      </c>
      <c r="H72" t="str">
        <f>_xlfn.XLOOKUP(Vet_Visits[[#This Row],[Charge_Code]],Charge_Reference!A:A,Charge_Reference!B:B)</f>
        <v>Radiographs</v>
      </c>
      <c r="I72" t="s">
        <v>51</v>
      </c>
      <c r="J72" s="3">
        <v>-160.13210000000001</v>
      </c>
      <c r="K72" t="s">
        <v>5</v>
      </c>
    </row>
    <row r="73" spans="1:11" x14ac:dyDescent="0.3">
      <c r="A73" s="4">
        <v>72</v>
      </c>
      <c r="B73" s="4">
        <v>65</v>
      </c>
      <c r="C73" s="4">
        <v>5</v>
      </c>
      <c r="D73" s="1" t="s">
        <v>109</v>
      </c>
      <c r="E73" s="1" t="s">
        <v>41</v>
      </c>
      <c r="F73" s="1" t="s">
        <v>42</v>
      </c>
      <c r="G73" s="2" t="s">
        <v>170</v>
      </c>
      <c r="H73" t="str">
        <f>_xlfn.XLOOKUP(Vet_Visits[[#This Row],[Charge_Code]],Charge_Reference!A:A,Charge_Reference!B:B)</f>
        <v>Vaccination</v>
      </c>
      <c r="I73" t="s">
        <v>55</v>
      </c>
      <c r="J73" s="3">
        <v>-17.937899999999999</v>
      </c>
      <c r="K73" t="s">
        <v>7</v>
      </c>
    </row>
    <row r="74" spans="1:11" x14ac:dyDescent="0.3">
      <c r="A74" s="4">
        <v>73</v>
      </c>
      <c r="B74" s="4">
        <v>42</v>
      </c>
      <c r="C74" s="4">
        <v>68</v>
      </c>
      <c r="D74" s="1" t="s">
        <v>120</v>
      </c>
      <c r="E74" s="1" t="s">
        <v>41</v>
      </c>
      <c r="F74" s="1" t="s">
        <v>61</v>
      </c>
      <c r="G74" s="2" t="s">
        <v>54</v>
      </c>
      <c r="H74" t="str">
        <f>_xlfn.XLOOKUP(Vet_Visits[[#This Row],[Charge_Code]],Charge_Reference!A:A,Charge_Reference!B:B)</f>
        <v>Dental Cleaning</v>
      </c>
      <c r="I74" t="s">
        <v>47</v>
      </c>
      <c r="J74" s="3">
        <v>317.16789999999997</v>
      </c>
      <c r="K74" t="s">
        <v>3</v>
      </c>
    </row>
    <row r="75" spans="1:11" x14ac:dyDescent="0.3">
      <c r="A75" s="4">
        <v>74</v>
      </c>
      <c r="B75" s="4">
        <v>172</v>
      </c>
      <c r="C75" s="4">
        <v>39</v>
      </c>
      <c r="D75" s="1" t="s">
        <v>48</v>
      </c>
      <c r="E75" s="1" t="s">
        <v>41</v>
      </c>
      <c r="F75" s="1" t="s">
        <v>171</v>
      </c>
      <c r="G75" s="2" t="s">
        <v>172</v>
      </c>
      <c r="H75" t="str">
        <f>_xlfn.XLOOKUP(Vet_Visits[[#This Row],[Charge_Code]],Charge_Reference!A:A,Charge_Reference!B:B)</f>
        <v>Annual Bloodwork</v>
      </c>
      <c r="I75" t="s">
        <v>40</v>
      </c>
      <c r="J75" s="3">
        <v>521.37620000000004</v>
      </c>
      <c r="K75" t="s">
        <v>3</v>
      </c>
    </row>
    <row r="76" spans="1:11" x14ac:dyDescent="0.3">
      <c r="A76" s="4">
        <v>75</v>
      </c>
      <c r="B76" s="4">
        <v>189</v>
      </c>
      <c r="C76" s="4">
        <v>35</v>
      </c>
      <c r="D76" s="1" t="s">
        <v>84</v>
      </c>
      <c r="E76" s="1" t="s">
        <v>41</v>
      </c>
      <c r="F76" s="1" t="s">
        <v>34</v>
      </c>
      <c r="G76" s="2" t="s">
        <v>173</v>
      </c>
      <c r="H76" t="str">
        <f>_xlfn.XLOOKUP(Vet_Visits[[#This Row],[Charge_Code]],Charge_Reference!A:A,Charge_Reference!B:B)</f>
        <v>Surgery</v>
      </c>
      <c r="I76" t="s">
        <v>32</v>
      </c>
      <c r="J76" s="3">
        <v>-208.702</v>
      </c>
      <c r="K76" t="s">
        <v>3</v>
      </c>
    </row>
    <row r="77" spans="1:11" x14ac:dyDescent="0.3">
      <c r="A77" s="4">
        <v>76</v>
      </c>
      <c r="B77" s="4">
        <v>37</v>
      </c>
      <c r="C77" s="4">
        <v>114</v>
      </c>
      <c r="D77" s="1" t="s">
        <v>93</v>
      </c>
      <c r="E77" s="1" t="s">
        <v>41</v>
      </c>
      <c r="F77" s="1" t="s">
        <v>57</v>
      </c>
      <c r="G77" s="2" t="s">
        <v>174</v>
      </c>
      <c r="H77" t="str">
        <f>_xlfn.XLOOKUP(Vet_Visits[[#This Row],[Charge_Code]],Charge_Reference!A:A,Charge_Reference!B:B)</f>
        <v>Surgery</v>
      </c>
      <c r="I77" t="s">
        <v>32</v>
      </c>
      <c r="J77" s="3">
        <v>506.1814</v>
      </c>
      <c r="K77" t="s">
        <v>7</v>
      </c>
    </row>
    <row r="78" spans="1:11" x14ac:dyDescent="0.3">
      <c r="A78" s="4">
        <v>77</v>
      </c>
      <c r="B78" s="4">
        <v>167</v>
      </c>
      <c r="C78" s="4">
        <v>2</v>
      </c>
      <c r="D78" s="1" t="s">
        <v>130</v>
      </c>
      <c r="E78" s="1" t="s">
        <v>41</v>
      </c>
      <c r="F78" s="1" t="s">
        <v>71</v>
      </c>
      <c r="G78" s="2" t="s">
        <v>175</v>
      </c>
      <c r="H78" t="str">
        <f>_xlfn.XLOOKUP(Vet_Visits[[#This Row],[Charge_Code]],Charge_Reference!A:A,Charge_Reference!B:B)</f>
        <v>Nail Trim</v>
      </c>
      <c r="I78" t="s">
        <v>64</v>
      </c>
      <c r="J78" s="3">
        <v>686.68769999999995</v>
      </c>
      <c r="K78" t="s">
        <v>3</v>
      </c>
    </row>
    <row r="79" spans="1:11" x14ac:dyDescent="0.3">
      <c r="A79" s="4">
        <v>78</v>
      </c>
      <c r="B79" s="4">
        <v>142</v>
      </c>
      <c r="C79" s="4">
        <v>62</v>
      </c>
      <c r="D79" s="1" t="s">
        <v>176</v>
      </c>
      <c r="E79" s="1" t="s">
        <v>41</v>
      </c>
      <c r="F79" s="1" t="s">
        <v>97</v>
      </c>
      <c r="G79" s="2" t="s">
        <v>177</v>
      </c>
      <c r="H79" t="str">
        <f>_xlfn.XLOOKUP(Vet_Visits[[#This Row],[Charge_Code]],Charge_Reference!A:A,Charge_Reference!B:B)</f>
        <v>Radiographs</v>
      </c>
      <c r="I79" t="s">
        <v>51</v>
      </c>
      <c r="J79" s="3">
        <v>270.72250000000003</v>
      </c>
      <c r="K79" t="s">
        <v>5</v>
      </c>
    </row>
    <row r="80" spans="1:11" x14ac:dyDescent="0.3">
      <c r="A80" s="4">
        <v>79</v>
      </c>
      <c r="B80" s="4">
        <v>122</v>
      </c>
      <c r="C80" s="4">
        <v>73</v>
      </c>
      <c r="D80" s="1" t="s">
        <v>158</v>
      </c>
      <c r="E80" s="1" t="s">
        <v>41</v>
      </c>
      <c r="F80" s="1" t="s">
        <v>73</v>
      </c>
      <c r="G80" s="2" t="s">
        <v>178</v>
      </c>
      <c r="H80" t="str">
        <f>_xlfn.XLOOKUP(Vet_Visits[[#This Row],[Charge_Code]],Charge_Reference!A:A,Charge_Reference!B:B)</f>
        <v>Emergency Visit</v>
      </c>
      <c r="I80" t="s">
        <v>36</v>
      </c>
      <c r="J80" s="3">
        <v>419.98489999999998</v>
      </c>
      <c r="K80" t="s">
        <v>5</v>
      </c>
    </row>
    <row r="81" spans="1:11" x14ac:dyDescent="0.3">
      <c r="A81" s="4">
        <v>80</v>
      </c>
      <c r="B81" s="4">
        <v>115</v>
      </c>
      <c r="C81" s="4">
        <v>16</v>
      </c>
      <c r="D81" s="1" t="s">
        <v>179</v>
      </c>
      <c r="E81" s="1" t="s">
        <v>41</v>
      </c>
      <c r="F81" s="1" t="s">
        <v>118</v>
      </c>
      <c r="G81" s="2" t="s">
        <v>180</v>
      </c>
      <c r="H81" t="str">
        <f>_xlfn.XLOOKUP(Vet_Visits[[#This Row],[Charge_Code]],Charge_Reference!A:A,Charge_Reference!B:B)</f>
        <v>Nail Trim</v>
      </c>
      <c r="I81" t="s">
        <v>64</v>
      </c>
      <c r="J81" s="3">
        <v>-34.894399999999997</v>
      </c>
      <c r="K81" t="s">
        <v>3</v>
      </c>
    </row>
    <row r="82" spans="1:11" x14ac:dyDescent="0.3">
      <c r="A82" s="4">
        <v>81</v>
      </c>
      <c r="B82" s="4">
        <v>153</v>
      </c>
      <c r="C82" s="4">
        <v>78</v>
      </c>
      <c r="D82" s="1" t="s">
        <v>101</v>
      </c>
      <c r="E82" s="1" t="s">
        <v>41</v>
      </c>
      <c r="F82" s="1" t="s">
        <v>94</v>
      </c>
      <c r="G82" s="2" t="s">
        <v>172</v>
      </c>
      <c r="H82" t="str">
        <f>_xlfn.XLOOKUP(Vet_Visits[[#This Row],[Charge_Code]],Charge_Reference!A:A,Charge_Reference!B:B)</f>
        <v>Office Visit</v>
      </c>
      <c r="I82" t="s">
        <v>59</v>
      </c>
      <c r="J82" s="3">
        <v>55.672800000000002</v>
      </c>
      <c r="K82" t="s">
        <v>7</v>
      </c>
    </row>
    <row r="83" spans="1:11" x14ac:dyDescent="0.3">
      <c r="A83" s="4">
        <v>82</v>
      </c>
      <c r="B83" s="4">
        <v>142</v>
      </c>
      <c r="C83" s="4">
        <v>147</v>
      </c>
      <c r="D83" s="1" t="s">
        <v>28</v>
      </c>
      <c r="E83" s="1" t="s">
        <v>41</v>
      </c>
      <c r="F83" s="1" t="s">
        <v>82</v>
      </c>
      <c r="G83" s="2" t="s">
        <v>181</v>
      </c>
      <c r="H83" t="str">
        <f>_xlfn.XLOOKUP(Vet_Visits[[#This Row],[Charge_Code]],Charge_Reference!A:A,Charge_Reference!B:B)</f>
        <v>Radiographs</v>
      </c>
      <c r="I83" t="s">
        <v>51</v>
      </c>
      <c r="J83" s="3">
        <v>567.61080000000004</v>
      </c>
      <c r="K83" t="s">
        <v>5</v>
      </c>
    </row>
    <row r="84" spans="1:11" x14ac:dyDescent="0.3">
      <c r="A84" s="4">
        <v>83</v>
      </c>
      <c r="B84" s="4">
        <v>15</v>
      </c>
      <c r="C84" s="4">
        <v>44</v>
      </c>
      <c r="D84" s="1" t="s">
        <v>154</v>
      </c>
      <c r="E84" s="1" t="s">
        <v>29</v>
      </c>
      <c r="F84" s="1" t="s">
        <v>45</v>
      </c>
      <c r="G84" s="2" t="s">
        <v>182</v>
      </c>
      <c r="H84" t="str">
        <f>_xlfn.XLOOKUP(Vet_Visits[[#This Row],[Charge_Code]],Charge_Reference!A:A,Charge_Reference!B:B)</f>
        <v>Vaccination</v>
      </c>
      <c r="I84" t="s">
        <v>55</v>
      </c>
      <c r="J84" s="3">
        <v>728.22280000000001</v>
      </c>
      <c r="K84" t="s">
        <v>3</v>
      </c>
    </row>
    <row r="85" spans="1:11" x14ac:dyDescent="0.3">
      <c r="A85" s="4">
        <v>84</v>
      </c>
      <c r="B85" s="4">
        <v>117</v>
      </c>
      <c r="C85" s="4">
        <v>137</v>
      </c>
      <c r="D85" s="1" t="s">
        <v>183</v>
      </c>
      <c r="E85" s="1" t="s">
        <v>29</v>
      </c>
      <c r="F85" s="1" t="s">
        <v>171</v>
      </c>
      <c r="G85" s="2" t="s">
        <v>184</v>
      </c>
      <c r="H85" t="str">
        <f>_xlfn.XLOOKUP(Vet_Visits[[#This Row],[Charge_Code]],Charge_Reference!A:A,Charge_Reference!B:B)</f>
        <v>Vaccination</v>
      </c>
      <c r="I85" t="s">
        <v>55</v>
      </c>
      <c r="J85" s="3">
        <v>220.16040000000001</v>
      </c>
      <c r="K85" t="s">
        <v>7</v>
      </c>
    </row>
    <row r="86" spans="1:11" x14ac:dyDescent="0.3">
      <c r="A86" s="4">
        <v>85</v>
      </c>
      <c r="B86" s="4">
        <v>52</v>
      </c>
      <c r="C86" s="4">
        <v>71</v>
      </c>
      <c r="D86" s="1" t="s">
        <v>185</v>
      </c>
      <c r="E86" s="1" t="s">
        <v>41</v>
      </c>
      <c r="F86" s="1" t="s">
        <v>30</v>
      </c>
      <c r="G86" s="2" t="s">
        <v>186</v>
      </c>
      <c r="H86" t="str">
        <f>_xlfn.XLOOKUP(Vet_Visits[[#This Row],[Charge_Code]],Charge_Reference!A:A,Charge_Reference!B:B)</f>
        <v>Radiographs</v>
      </c>
      <c r="I86" t="s">
        <v>51</v>
      </c>
      <c r="J86" s="3">
        <v>403.38010000000003</v>
      </c>
      <c r="K86" t="s">
        <v>3</v>
      </c>
    </row>
    <row r="87" spans="1:11" x14ac:dyDescent="0.3">
      <c r="A87" s="4">
        <v>86</v>
      </c>
      <c r="B87" s="4">
        <v>185</v>
      </c>
      <c r="C87" s="4">
        <v>66</v>
      </c>
      <c r="D87" s="1" t="s">
        <v>37</v>
      </c>
      <c r="E87" s="1" t="s">
        <v>29</v>
      </c>
      <c r="F87" s="1" t="s">
        <v>97</v>
      </c>
      <c r="G87" s="2" t="s">
        <v>165</v>
      </c>
      <c r="H87" t="str">
        <f>_xlfn.XLOOKUP(Vet_Visits[[#This Row],[Charge_Code]],Charge_Reference!A:A,Charge_Reference!B:B)</f>
        <v>Radiographs</v>
      </c>
      <c r="I87" t="s">
        <v>51</v>
      </c>
      <c r="J87" s="3">
        <v>94.097099999999998</v>
      </c>
      <c r="K87" t="s">
        <v>5</v>
      </c>
    </row>
    <row r="88" spans="1:11" x14ac:dyDescent="0.3">
      <c r="A88" s="4">
        <v>87</v>
      </c>
      <c r="B88" s="4">
        <v>13</v>
      </c>
      <c r="C88" s="4">
        <v>39</v>
      </c>
      <c r="D88" s="1" t="s">
        <v>126</v>
      </c>
      <c r="E88" s="1" t="s">
        <v>29</v>
      </c>
      <c r="F88" s="1" t="s">
        <v>118</v>
      </c>
      <c r="G88" s="2" t="s">
        <v>187</v>
      </c>
      <c r="H88" t="str">
        <f>_xlfn.XLOOKUP(Vet_Visits[[#This Row],[Charge_Code]],Charge_Reference!A:A,Charge_Reference!B:B)</f>
        <v>Annual Bloodwork</v>
      </c>
      <c r="I88" t="s">
        <v>40</v>
      </c>
      <c r="J88" s="3">
        <v>742.71019999999999</v>
      </c>
      <c r="K88" t="s">
        <v>5</v>
      </c>
    </row>
    <row r="89" spans="1:11" x14ac:dyDescent="0.3">
      <c r="A89" s="4">
        <v>88</v>
      </c>
      <c r="B89" s="4">
        <v>150</v>
      </c>
      <c r="C89" s="4">
        <v>98</v>
      </c>
      <c r="D89" s="1" t="s">
        <v>44</v>
      </c>
      <c r="E89" s="1" t="s">
        <v>29</v>
      </c>
      <c r="F89" s="1" t="s">
        <v>97</v>
      </c>
      <c r="G89" s="2" t="s">
        <v>141</v>
      </c>
      <c r="H89" t="str">
        <f>_xlfn.XLOOKUP(Vet_Visits[[#This Row],[Charge_Code]],Charge_Reference!A:A,Charge_Reference!B:B)</f>
        <v>Annual Bloodwork</v>
      </c>
      <c r="I89" t="s">
        <v>40</v>
      </c>
      <c r="J89" s="3">
        <v>31.267600000000002</v>
      </c>
      <c r="K89" t="s">
        <v>7</v>
      </c>
    </row>
    <row r="90" spans="1:11" x14ac:dyDescent="0.3">
      <c r="A90" s="4">
        <v>89</v>
      </c>
      <c r="B90" s="4">
        <v>96</v>
      </c>
      <c r="C90" s="4">
        <v>67</v>
      </c>
      <c r="D90" s="1" t="s">
        <v>68</v>
      </c>
      <c r="E90" s="1" t="s">
        <v>29</v>
      </c>
      <c r="F90" s="1" t="s">
        <v>49</v>
      </c>
      <c r="G90" s="2" t="s">
        <v>124</v>
      </c>
      <c r="H90" t="str">
        <f>_xlfn.XLOOKUP(Vet_Visits[[#This Row],[Charge_Code]],Charge_Reference!A:A,Charge_Reference!B:B)</f>
        <v>Surgery</v>
      </c>
      <c r="I90" t="s">
        <v>32</v>
      </c>
      <c r="J90" s="3">
        <v>-170.65270000000001</v>
      </c>
      <c r="K90" t="s">
        <v>5</v>
      </c>
    </row>
    <row r="91" spans="1:11" x14ac:dyDescent="0.3">
      <c r="A91" s="4">
        <v>90</v>
      </c>
      <c r="B91" s="4">
        <v>65</v>
      </c>
      <c r="C91" s="4">
        <v>57</v>
      </c>
      <c r="D91" s="1" t="s">
        <v>188</v>
      </c>
      <c r="E91" s="1" t="s">
        <v>29</v>
      </c>
      <c r="F91" s="1" t="s">
        <v>49</v>
      </c>
      <c r="G91" s="2" t="s">
        <v>189</v>
      </c>
      <c r="H91" t="str">
        <f>_xlfn.XLOOKUP(Vet_Visits[[#This Row],[Charge_Code]],Charge_Reference!A:A,Charge_Reference!B:B)</f>
        <v>Surgery</v>
      </c>
      <c r="I91" t="s">
        <v>32</v>
      </c>
      <c r="J91" s="3">
        <v>867.29380000000003</v>
      </c>
      <c r="K91" t="s">
        <v>5</v>
      </c>
    </row>
    <row r="92" spans="1:11" x14ac:dyDescent="0.3">
      <c r="A92" s="4">
        <v>91</v>
      </c>
      <c r="B92" s="4">
        <v>142</v>
      </c>
      <c r="C92" s="4">
        <v>70</v>
      </c>
      <c r="D92" s="1" t="s">
        <v>128</v>
      </c>
      <c r="E92" s="1" t="s">
        <v>41</v>
      </c>
      <c r="F92" s="1" t="s">
        <v>73</v>
      </c>
      <c r="G92" s="2" t="s">
        <v>190</v>
      </c>
      <c r="H92" t="str">
        <f>_xlfn.XLOOKUP(Vet_Visits[[#This Row],[Charge_Code]],Charge_Reference!A:A,Charge_Reference!B:B)</f>
        <v>Radiographs</v>
      </c>
      <c r="I92" t="s">
        <v>51</v>
      </c>
      <c r="J92" s="3">
        <v>756.24950000000001</v>
      </c>
      <c r="K92" t="s">
        <v>7</v>
      </c>
    </row>
    <row r="93" spans="1:11" x14ac:dyDescent="0.3">
      <c r="A93" s="4">
        <v>92</v>
      </c>
      <c r="B93" s="4">
        <v>62</v>
      </c>
      <c r="C93" s="4">
        <v>76</v>
      </c>
      <c r="D93" s="1" t="s">
        <v>191</v>
      </c>
      <c r="E93" s="1" t="s">
        <v>29</v>
      </c>
      <c r="F93" s="1" t="s">
        <v>53</v>
      </c>
      <c r="G93" s="2" t="s">
        <v>192</v>
      </c>
      <c r="H93" t="str">
        <f>_xlfn.XLOOKUP(Vet_Visits[[#This Row],[Charge_Code]],Charge_Reference!A:A,Charge_Reference!B:B)</f>
        <v>Office Visit</v>
      </c>
      <c r="I93" t="s">
        <v>59</v>
      </c>
      <c r="J93" s="3">
        <v>686.51580000000001</v>
      </c>
      <c r="K93" t="s">
        <v>7</v>
      </c>
    </row>
    <row r="94" spans="1:11" x14ac:dyDescent="0.3">
      <c r="A94" s="4">
        <v>93</v>
      </c>
      <c r="B94" s="4">
        <v>144</v>
      </c>
      <c r="C94" s="4">
        <v>73</v>
      </c>
      <c r="D94" s="1" t="s">
        <v>68</v>
      </c>
      <c r="E94" s="1" t="s">
        <v>29</v>
      </c>
      <c r="F94" s="1" t="s">
        <v>34</v>
      </c>
      <c r="G94" s="2" t="s">
        <v>193</v>
      </c>
      <c r="H94" t="str">
        <f>_xlfn.XLOOKUP(Vet_Visits[[#This Row],[Charge_Code]],Charge_Reference!A:A,Charge_Reference!B:B)</f>
        <v>Radiographs</v>
      </c>
      <c r="I94" t="s">
        <v>51</v>
      </c>
      <c r="J94" s="3">
        <v>667.69730000000004</v>
      </c>
      <c r="K94" t="s">
        <v>7</v>
      </c>
    </row>
    <row r="95" spans="1:11" x14ac:dyDescent="0.3">
      <c r="A95" s="4">
        <v>94</v>
      </c>
      <c r="B95" s="4">
        <v>150</v>
      </c>
      <c r="C95" s="4">
        <v>104</v>
      </c>
      <c r="D95" s="1" t="s">
        <v>78</v>
      </c>
      <c r="E95" s="1" t="s">
        <v>41</v>
      </c>
      <c r="F95" s="1" t="s">
        <v>151</v>
      </c>
      <c r="G95" s="2" t="s">
        <v>129</v>
      </c>
      <c r="H95" t="str">
        <f>_xlfn.XLOOKUP(Vet_Visits[[#This Row],[Charge_Code]],Charge_Reference!A:A,Charge_Reference!B:B)</f>
        <v>Vaccination</v>
      </c>
      <c r="I95" t="s">
        <v>55</v>
      </c>
      <c r="J95" s="3">
        <v>19.926500000000001</v>
      </c>
      <c r="K95" t="s">
        <v>5</v>
      </c>
    </row>
    <row r="96" spans="1:11" x14ac:dyDescent="0.3">
      <c r="A96" s="4">
        <v>95</v>
      </c>
      <c r="B96" s="4">
        <v>62</v>
      </c>
      <c r="C96" s="4">
        <v>37</v>
      </c>
      <c r="D96" s="1" t="s">
        <v>194</v>
      </c>
      <c r="E96" s="1" t="s">
        <v>29</v>
      </c>
      <c r="F96" s="1" t="s">
        <v>38</v>
      </c>
      <c r="G96" s="2" t="s">
        <v>195</v>
      </c>
      <c r="H96" t="str">
        <f>_xlfn.XLOOKUP(Vet_Visits[[#This Row],[Charge_Code]],Charge_Reference!A:A,Charge_Reference!B:B)</f>
        <v>Annual Bloodwork</v>
      </c>
      <c r="I96" t="s">
        <v>40</v>
      </c>
      <c r="J96" s="3">
        <v>-56.112699999999997</v>
      </c>
      <c r="K96" t="s">
        <v>7</v>
      </c>
    </row>
    <row r="97" spans="1:11" x14ac:dyDescent="0.3">
      <c r="A97" s="4">
        <v>96</v>
      </c>
      <c r="B97" s="4">
        <v>14</v>
      </c>
      <c r="C97" s="4">
        <v>76</v>
      </c>
      <c r="D97" s="1" t="s">
        <v>56</v>
      </c>
      <c r="E97" s="1" t="s">
        <v>41</v>
      </c>
      <c r="F97" s="1" t="s">
        <v>66</v>
      </c>
      <c r="G97" s="2" t="s">
        <v>133</v>
      </c>
      <c r="H97" t="str">
        <f>_xlfn.XLOOKUP(Vet_Visits[[#This Row],[Charge_Code]],Charge_Reference!A:A,Charge_Reference!B:B)</f>
        <v>Annual Bloodwork</v>
      </c>
      <c r="I97" t="s">
        <v>40</v>
      </c>
      <c r="J97" s="3">
        <v>299.9418</v>
      </c>
      <c r="K97" t="s">
        <v>7</v>
      </c>
    </row>
    <row r="98" spans="1:11" x14ac:dyDescent="0.3">
      <c r="A98" s="4">
        <v>97</v>
      </c>
      <c r="B98" s="4">
        <v>200</v>
      </c>
      <c r="C98" s="4">
        <v>47</v>
      </c>
      <c r="D98" s="1" t="s">
        <v>99</v>
      </c>
      <c r="E98" s="1" t="s">
        <v>41</v>
      </c>
      <c r="F98" s="1" t="s">
        <v>135</v>
      </c>
      <c r="G98" s="2" t="s">
        <v>144</v>
      </c>
      <c r="H98" t="str">
        <f>_xlfn.XLOOKUP(Vet_Visits[[#This Row],[Charge_Code]],Charge_Reference!A:A,Charge_Reference!B:B)</f>
        <v>Dental Cleaning</v>
      </c>
      <c r="I98" t="s">
        <v>47</v>
      </c>
      <c r="J98" s="3">
        <v>908.0095</v>
      </c>
      <c r="K98" t="s">
        <v>5</v>
      </c>
    </row>
    <row r="99" spans="1:11" x14ac:dyDescent="0.3">
      <c r="A99" s="4">
        <v>98</v>
      </c>
      <c r="B99" s="4">
        <v>24</v>
      </c>
      <c r="C99" s="4">
        <v>125</v>
      </c>
      <c r="D99" s="1" t="s">
        <v>91</v>
      </c>
      <c r="E99" s="1" t="s">
        <v>29</v>
      </c>
      <c r="F99" s="1" t="s">
        <v>66</v>
      </c>
      <c r="G99" s="2" t="s">
        <v>196</v>
      </c>
      <c r="H99" t="str">
        <f>_xlfn.XLOOKUP(Vet_Visits[[#This Row],[Charge_Code]],Charge_Reference!A:A,Charge_Reference!B:B)</f>
        <v>Vaccination</v>
      </c>
      <c r="I99" t="s">
        <v>55</v>
      </c>
      <c r="J99" s="3">
        <v>108.58969999999999</v>
      </c>
      <c r="K99" t="s">
        <v>5</v>
      </c>
    </row>
    <row r="100" spans="1:11" x14ac:dyDescent="0.3">
      <c r="A100" s="4">
        <v>99</v>
      </c>
      <c r="B100" s="4">
        <v>82</v>
      </c>
      <c r="C100" s="4">
        <v>77</v>
      </c>
      <c r="D100" s="1" t="s">
        <v>197</v>
      </c>
      <c r="E100" s="1" t="s">
        <v>41</v>
      </c>
      <c r="F100" s="1" t="s">
        <v>82</v>
      </c>
      <c r="G100" s="2" t="s">
        <v>198</v>
      </c>
      <c r="H100" t="str">
        <f>_xlfn.XLOOKUP(Vet_Visits[[#This Row],[Charge_Code]],Charge_Reference!A:A,Charge_Reference!B:B)</f>
        <v>Dental Cleaning</v>
      </c>
      <c r="I100" t="s">
        <v>47</v>
      </c>
      <c r="J100" s="3">
        <v>806.5077</v>
      </c>
      <c r="K100" t="s">
        <v>5</v>
      </c>
    </row>
    <row r="101" spans="1:11" x14ac:dyDescent="0.3">
      <c r="A101" s="4">
        <v>100</v>
      </c>
      <c r="B101" s="4">
        <v>52</v>
      </c>
      <c r="C101" s="4">
        <v>98</v>
      </c>
      <c r="D101" s="1" t="s">
        <v>139</v>
      </c>
      <c r="E101" s="1" t="s">
        <v>41</v>
      </c>
      <c r="F101" s="1" t="s">
        <v>85</v>
      </c>
      <c r="G101" s="2" t="s">
        <v>199</v>
      </c>
      <c r="H101" t="str">
        <f>_xlfn.XLOOKUP(Vet_Visits[[#This Row],[Charge_Code]],Charge_Reference!A:A,Charge_Reference!B:B)</f>
        <v>Annual Bloodwork</v>
      </c>
      <c r="I101" t="s">
        <v>40</v>
      </c>
      <c r="J101" s="3">
        <v>-161.25380000000001</v>
      </c>
      <c r="K101" t="s">
        <v>5</v>
      </c>
    </row>
    <row r="102" spans="1:11" x14ac:dyDescent="0.3">
      <c r="A102" s="4">
        <v>101</v>
      </c>
      <c r="B102" s="4">
        <v>125</v>
      </c>
      <c r="C102" s="4">
        <v>77</v>
      </c>
      <c r="D102" s="1" t="s">
        <v>52</v>
      </c>
      <c r="E102" s="1" t="s">
        <v>29</v>
      </c>
      <c r="F102" s="1" t="s">
        <v>71</v>
      </c>
      <c r="G102" s="2" t="s">
        <v>200</v>
      </c>
      <c r="H102" t="str">
        <f>_xlfn.XLOOKUP(Vet_Visits[[#This Row],[Charge_Code]],Charge_Reference!A:A,Charge_Reference!B:B)</f>
        <v>Vaccination</v>
      </c>
      <c r="I102" t="s">
        <v>55</v>
      </c>
      <c r="J102" s="3">
        <v>112.2957</v>
      </c>
      <c r="K102" t="s">
        <v>3</v>
      </c>
    </row>
    <row r="103" spans="1:11" x14ac:dyDescent="0.3">
      <c r="A103" s="4">
        <v>102</v>
      </c>
      <c r="B103" s="4">
        <v>69</v>
      </c>
      <c r="C103" s="4">
        <v>75</v>
      </c>
      <c r="D103" s="1" t="s">
        <v>115</v>
      </c>
      <c r="E103" s="1" t="s">
        <v>41</v>
      </c>
      <c r="F103" s="1" t="s">
        <v>38</v>
      </c>
      <c r="G103" s="2" t="s">
        <v>201</v>
      </c>
      <c r="H103" t="str">
        <f>_xlfn.XLOOKUP(Vet_Visits[[#This Row],[Charge_Code]],Charge_Reference!A:A,Charge_Reference!B:B)</f>
        <v>Nail Trim</v>
      </c>
      <c r="I103" t="s">
        <v>64</v>
      </c>
      <c r="J103" s="3">
        <v>857.33460000000002</v>
      </c>
      <c r="K103" t="s">
        <v>3</v>
      </c>
    </row>
    <row r="104" spans="1:11" x14ac:dyDescent="0.3">
      <c r="A104" s="4">
        <v>103</v>
      </c>
      <c r="B104" s="4">
        <v>110</v>
      </c>
      <c r="C104" s="4">
        <v>37</v>
      </c>
      <c r="D104" s="1" t="s">
        <v>109</v>
      </c>
      <c r="E104" s="1" t="s">
        <v>29</v>
      </c>
      <c r="F104" s="1" t="s">
        <v>76</v>
      </c>
      <c r="G104" s="2" t="s">
        <v>202</v>
      </c>
      <c r="H104" t="str">
        <f>_xlfn.XLOOKUP(Vet_Visits[[#This Row],[Charge_Code]],Charge_Reference!A:A,Charge_Reference!B:B)</f>
        <v>Emergency Visit</v>
      </c>
      <c r="I104" t="s">
        <v>36</v>
      </c>
      <c r="J104" s="3">
        <v>295.71350000000001</v>
      </c>
      <c r="K104" t="s">
        <v>3</v>
      </c>
    </row>
    <row r="105" spans="1:11" x14ac:dyDescent="0.3">
      <c r="A105" s="4">
        <v>104</v>
      </c>
      <c r="B105" s="4">
        <v>1</v>
      </c>
      <c r="C105" s="4">
        <v>1</v>
      </c>
      <c r="D105" s="1" t="s">
        <v>75</v>
      </c>
      <c r="E105" s="1" t="s">
        <v>29</v>
      </c>
      <c r="F105" s="1" t="s">
        <v>87</v>
      </c>
      <c r="G105" s="2" t="s">
        <v>203</v>
      </c>
      <c r="H105" t="str">
        <f>_xlfn.XLOOKUP(Vet_Visits[[#This Row],[Charge_Code]],Charge_Reference!A:A,Charge_Reference!B:B)</f>
        <v>Surgery</v>
      </c>
      <c r="I105" t="s">
        <v>32</v>
      </c>
      <c r="J105" s="3">
        <v>-288.42680000000001</v>
      </c>
      <c r="K105" t="s">
        <v>5</v>
      </c>
    </row>
    <row r="106" spans="1:11" x14ac:dyDescent="0.3">
      <c r="A106" s="4">
        <v>105</v>
      </c>
      <c r="B106" s="4">
        <v>156</v>
      </c>
      <c r="C106" s="4">
        <v>112</v>
      </c>
      <c r="D106" s="1" t="s">
        <v>154</v>
      </c>
      <c r="E106" s="1" t="s">
        <v>29</v>
      </c>
      <c r="F106" s="1" t="s">
        <v>85</v>
      </c>
      <c r="G106" s="2" t="s">
        <v>155</v>
      </c>
      <c r="H106" t="str">
        <f>_xlfn.XLOOKUP(Vet_Visits[[#This Row],[Charge_Code]],Charge_Reference!A:A,Charge_Reference!B:B)</f>
        <v>Nail Trim</v>
      </c>
      <c r="I106" t="s">
        <v>64</v>
      </c>
      <c r="J106" s="3">
        <v>425.30349999999999</v>
      </c>
      <c r="K106" t="s">
        <v>7</v>
      </c>
    </row>
    <row r="107" spans="1:11" x14ac:dyDescent="0.3">
      <c r="A107" s="4">
        <v>106</v>
      </c>
      <c r="B107" s="4">
        <v>144</v>
      </c>
      <c r="C107" s="4">
        <v>131</v>
      </c>
      <c r="D107" s="1" t="s">
        <v>130</v>
      </c>
      <c r="E107" s="1" t="s">
        <v>29</v>
      </c>
      <c r="F107" s="1" t="s">
        <v>171</v>
      </c>
      <c r="G107" s="2" t="s">
        <v>204</v>
      </c>
      <c r="H107" t="str">
        <f>_xlfn.XLOOKUP(Vet_Visits[[#This Row],[Charge_Code]],Charge_Reference!A:A,Charge_Reference!B:B)</f>
        <v>Vaccination</v>
      </c>
      <c r="I107" t="s">
        <v>55</v>
      </c>
      <c r="J107" s="3">
        <v>-179.93209999999999</v>
      </c>
      <c r="K107" t="s">
        <v>7</v>
      </c>
    </row>
    <row r="108" spans="1:11" x14ac:dyDescent="0.3">
      <c r="A108" s="4">
        <v>107</v>
      </c>
      <c r="B108" s="4">
        <v>46</v>
      </c>
      <c r="C108" s="4">
        <v>106</v>
      </c>
      <c r="D108" s="1" t="s">
        <v>89</v>
      </c>
      <c r="E108" s="1" t="s">
        <v>29</v>
      </c>
      <c r="F108" s="1" t="s">
        <v>97</v>
      </c>
      <c r="G108" s="2" t="s">
        <v>205</v>
      </c>
      <c r="H108" t="str">
        <f>_xlfn.XLOOKUP(Vet_Visits[[#This Row],[Charge_Code]],Charge_Reference!A:A,Charge_Reference!B:B)</f>
        <v>Radiographs</v>
      </c>
      <c r="I108" t="s">
        <v>51</v>
      </c>
      <c r="J108" s="3">
        <v>984.02539999999999</v>
      </c>
      <c r="K108" t="s">
        <v>3</v>
      </c>
    </row>
    <row r="109" spans="1:11" x14ac:dyDescent="0.3">
      <c r="A109" s="4">
        <v>108</v>
      </c>
      <c r="B109" s="4">
        <v>32</v>
      </c>
      <c r="C109" s="4">
        <v>6</v>
      </c>
      <c r="D109" s="1" t="s">
        <v>188</v>
      </c>
      <c r="E109" s="1" t="s">
        <v>29</v>
      </c>
      <c r="F109" s="1" t="s">
        <v>49</v>
      </c>
      <c r="G109" s="2" t="s">
        <v>165</v>
      </c>
      <c r="H109" t="str">
        <f>_xlfn.XLOOKUP(Vet_Visits[[#This Row],[Charge_Code]],Charge_Reference!A:A,Charge_Reference!B:B)</f>
        <v>Surgery</v>
      </c>
      <c r="I109" t="s">
        <v>32</v>
      </c>
      <c r="J109" s="3">
        <v>516.75130000000001</v>
      </c>
      <c r="K109" t="s">
        <v>7</v>
      </c>
    </row>
    <row r="110" spans="1:11" x14ac:dyDescent="0.3">
      <c r="A110" s="4">
        <v>109</v>
      </c>
      <c r="B110" s="4">
        <v>80</v>
      </c>
      <c r="C110" s="4">
        <v>116</v>
      </c>
      <c r="D110" s="1" t="s">
        <v>183</v>
      </c>
      <c r="E110" s="1" t="s">
        <v>41</v>
      </c>
      <c r="F110" s="1" t="s">
        <v>45</v>
      </c>
      <c r="G110" s="2" t="s">
        <v>206</v>
      </c>
      <c r="H110" t="str">
        <f>_xlfn.XLOOKUP(Vet_Visits[[#This Row],[Charge_Code]],Charge_Reference!A:A,Charge_Reference!B:B)</f>
        <v>Nail Trim</v>
      </c>
      <c r="I110" t="s">
        <v>64</v>
      </c>
      <c r="J110" s="3">
        <v>242.7064</v>
      </c>
      <c r="K110" t="s">
        <v>3</v>
      </c>
    </row>
    <row r="111" spans="1:11" x14ac:dyDescent="0.3">
      <c r="A111" s="4">
        <v>110</v>
      </c>
      <c r="B111" s="4">
        <v>141</v>
      </c>
      <c r="C111" s="4">
        <v>108</v>
      </c>
      <c r="D111" s="1" t="s">
        <v>197</v>
      </c>
      <c r="E111" s="1" t="s">
        <v>41</v>
      </c>
      <c r="F111" s="1" t="s">
        <v>30</v>
      </c>
      <c r="G111" s="2" t="s">
        <v>207</v>
      </c>
      <c r="H111" t="str">
        <f>_xlfn.XLOOKUP(Vet_Visits[[#This Row],[Charge_Code]],Charge_Reference!A:A,Charge_Reference!B:B)</f>
        <v>Nail Trim</v>
      </c>
      <c r="I111" t="s">
        <v>64</v>
      </c>
      <c r="J111" s="3">
        <v>438.31729999999999</v>
      </c>
      <c r="K111" t="s">
        <v>5</v>
      </c>
    </row>
    <row r="112" spans="1:11" x14ac:dyDescent="0.3">
      <c r="A112" s="4">
        <v>111</v>
      </c>
      <c r="B112" s="4">
        <v>97</v>
      </c>
      <c r="C112" s="4">
        <v>72</v>
      </c>
      <c r="D112" s="1" t="s">
        <v>176</v>
      </c>
      <c r="E112" s="1" t="s">
        <v>41</v>
      </c>
      <c r="F112" s="1" t="s">
        <v>34</v>
      </c>
      <c r="G112" s="2" t="s">
        <v>208</v>
      </c>
      <c r="H112" t="str">
        <f>_xlfn.XLOOKUP(Vet_Visits[[#This Row],[Charge_Code]],Charge_Reference!A:A,Charge_Reference!B:B)</f>
        <v>Vaccination</v>
      </c>
      <c r="I112" t="s">
        <v>55</v>
      </c>
      <c r="J112" s="3">
        <v>119.9024</v>
      </c>
      <c r="K112" t="s">
        <v>3</v>
      </c>
    </row>
    <row r="113" spans="1:11" x14ac:dyDescent="0.3">
      <c r="A113" s="4">
        <v>112</v>
      </c>
      <c r="B113" s="4">
        <v>110</v>
      </c>
      <c r="C113" s="4">
        <v>21</v>
      </c>
      <c r="D113" s="1" t="s">
        <v>139</v>
      </c>
      <c r="E113" s="1" t="s">
        <v>41</v>
      </c>
      <c r="F113" s="1" t="s">
        <v>57</v>
      </c>
      <c r="G113" s="2" t="s">
        <v>209</v>
      </c>
      <c r="H113" t="str">
        <f>_xlfn.XLOOKUP(Vet_Visits[[#This Row],[Charge_Code]],Charge_Reference!A:A,Charge_Reference!B:B)</f>
        <v>Annual Bloodwork</v>
      </c>
      <c r="I113" t="s">
        <v>40</v>
      </c>
      <c r="J113" s="3">
        <v>398.31779999999998</v>
      </c>
      <c r="K113" t="s">
        <v>7</v>
      </c>
    </row>
    <row r="114" spans="1:11" x14ac:dyDescent="0.3">
      <c r="A114" s="4">
        <v>113</v>
      </c>
      <c r="B114" s="4">
        <v>25</v>
      </c>
      <c r="C114" s="4">
        <v>73</v>
      </c>
      <c r="D114" s="1" t="s">
        <v>154</v>
      </c>
      <c r="E114" s="1" t="s">
        <v>29</v>
      </c>
      <c r="F114" s="1" t="s">
        <v>66</v>
      </c>
      <c r="G114" s="2" t="s">
        <v>210</v>
      </c>
      <c r="H114" t="str">
        <f>_xlfn.XLOOKUP(Vet_Visits[[#This Row],[Charge_Code]],Charge_Reference!A:A,Charge_Reference!B:B)</f>
        <v>Dental Cleaning</v>
      </c>
      <c r="I114" t="s">
        <v>47</v>
      </c>
      <c r="J114" s="3">
        <v>837.64729999999997</v>
      </c>
      <c r="K114" t="s">
        <v>7</v>
      </c>
    </row>
    <row r="115" spans="1:11" x14ac:dyDescent="0.3">
      <c r="A115" s="4">
        <v>114</v>
      </c>
      <c r="B115" s="4">
        <v>72</v>
      </c>
      <c r="C115" s="4">
        <v>63</v>
      </c>
      <c r="D115" s="1" t="s">
        <v>211</v>
      </c>
      <c r="E115" s="1" t="s">
        <v>29</v>
      </c>
      <c r="F115" s="1" t="s">
        <v>131</v>
      </c>
      <c r="G115" s="2" t="s">
        <v>212</v>
      </c>
      <c r="H115" t="str">
        <f>_xlfn.XLOOKUP(Vet_Visits[[#This Row],[Charge_Code]],Charge_Reference!A:A,Charge_Reference!B:B)</f>
        <v>Emergency Visit</v>
      </c>
      <c r="I115" t="s">
        <v>36</v>
      </c>
      <c r="J115" s="3">
        <v>422.6103</v>
      </c>
      <c r="K115" t="s">
        <v>5</v>
      </c>
    </row>
    <row r="116" spans="1:11" x14ac:dyDescent="0.3">
      <c r="A116" s="4">
        <v>115</v>
      </c>
      <c r="B116" s="4">
        <v>55</v>
      </c>
      <c r="C116" s="4">
        <v>21</v>
      </c>
      <c r="D116" s="1" t="s">
        <v>48</v>
      </c>
      <c r="E116" s="1" t="s">
        <v>41</v>
      </c>
      <c r="F116" s="1" t="s">
        <v>57</v>
      </c>
      <c r="G116" s="2" t="s">
        <v>213</v>
      </c>
      <c r="H116" t="str">
        <f>_xlfn.XLOOKUP(Vet_Visits[[#This Row],[Charge_Code]],Charge_Reference!A:A,Charge_Reference!B:B)</f>
        <v>Vaccination</v>
      </c>
      <c r="I116" t="s">
        <v>55</v>
      </c>
      <c r="J116" s="3">
        <v>717.8039</v>
      </c>
      <c r="K116" t="s">
        <v>5</v>
      </c>
    </row>
    <row r="117" spans="1:11" x14ac:dyDescent="0.3">
      <c r="A117" s="4">
        <v>116</v>
      </c>
      <c r="B117" s="4">
        <v>85</v>
      </c>
      <c r="C117" s="4">
        <v>131</v>
      </c>
      <c r="D117" s="1" t="s">
        <v>214</v>
      </c>
      <c r="E117" s="1" t="s">
        <v>29</v>
      </c>
      <c r="F117" s="1" t="s">
        <v>116</v>
      </c>
      <c r="G117" s="2" t="s">
        <v>215</v>
      </c>
      <c r="H117" t="str">
        <f>_xlfn.XLOOKUP(Vet_Visits[[#This Row],[Charge_Code]],Charge_Reference!A:A,Charge_Reference!B:B)</f>
        <v>Vaccination</v>
      </c>
      <c r="I117" t="s">
        <v>55</v>
      </c>
      <c r="J117" s="3">
        <v>804.76369999999997</v>
      </c>
      <c r="K117" t="s">
        <v>5</v>
      </c>
    </row>
    <row r="118" spans="1:11" x14ac:dyDescent="0.3">
      <c r="A118" s="4">
        <v>117</v>
      </c>
      <c r="B118" s="4">
        <v>102</v>
      </c>
      <c r="C118" s="4">
        <v>101</v>
      </c>
      <c r="D118" s="1" t="s">
        <v>37</v>
      </c>
      <c r="E118" s="1" t="s">
        <v>41</v>
      </c>
      <c r="F118" s="1" t="s">
        <v>97</v>
      </c>
      <c r="G118" s="2" t="s">
        <v>216</v>
      </c>
      <c r="H118" t="str">
        <f>_xlfn.XLOOKUP(Vet_Visits[[#This Row],[Charge_Code]],Charge_Reference!A:A,Charge_Reference!B:B)</f>
        <v>Office Visit</v>
      </c>
      <c r="I118" t="s">
        <v>59</v>
      </c>
      <c r="J118" s="3">
        <v>831.80560000000003</v>
      </c>
      <c r="K118" t="s">
        <v>3</v>
      </c>
    </row>
    <row r="119" spans="1:11" x14ac:dyDescent="0.3">
      <c r="A119" s="4">
        <v>118</v>
      </c>
      <c r="B119" s="4">
        <v>104</v>
      </c>
      <c r="C119" s="4">
        <v>101</v>
      </c>
      <c r="D119" s="1" t="s">
        <v>142</v>
      </c>
      <c r="E119" s="1" t="s">
        <v>41</v>
      </c>
      <c r="F119" s="1" t="s">
        <v>76</v>
      </c>
      <c r="G119" s="2" t="s">
        <v>74</v>
      </c>
      <c r="H119" t="str">
        <f>_xlfn.XLOOKUP(Vet_Visits[[#This Row],[Charge_Code]],Charge_Reference!A:A,Charge_Reference!B:B)</f>
        <v>Nail Trim</v>
      </c>
      <c r="I119" t="s">
        <v>64</v>
      </c>
      <c r="J119" s="3">
        <v>456.93849999999998</v>
      </c>
      <c r="K119" t="s">
        <v>5</v>
      </c>
    </row>
    <row r="120" spans="1:11" x14ac:dyDescent="0.3">
      <c r="A120" s="4">
        <v>119</v>
      </c>
      <c r="B120" s="4">
        <v>3</v>
      </c>
      <c r="C120" s="4">
        <v>112</v>
      </c>
      <c r="D120" s="1" t="s">
        <v>217</v>
      </c>
      <c r="E120" s="1" t="s">
        <v>41</v>
      </c>
      <c r="F120" s="1" t="s">
        <v>131</v>
      </c>
      <c r="G120" s="2" t="s">
        <v>218</v>
      </c>
      <c r="H120" t="str">
        <f>_xlfn.XLOOKUP(Vet_Visits[[#This Row],[Charge_Code]],Charge_Reference!A:A,Charge_Reference!B:B)</f>
        <v>Office Visit</v>
      </c>
      <c r="I120" t="s">
        <v>59</v>
      </c>
      <c r="J120" s="3">
        <v>-145.4691</v>
      </c>
      <c r="K120" t="s">
        <v>3</v>
      </c>
    </row>
    <row r="121" spans="1:11" x14ac:dyDescent="0.3">
      <c r="A121" s="4">
        <v>120</v>
      </c>
      <c r="B121" s="4">
        <v>136</v>
      </c>
      <c r="C121" s="4">
        <v>11</v>
      </c>
      <c r="D121" s="1" t="s">
        <v>149</v>
      </c>
      <c r="E121" s="1" t="s">
        <v>29</v>
      </c>
      <c r="F121" s="1" t="s">
        <v>87</v>
      </c>
      <c r="G121" s="2" t="s">
        <v>219</v>
      </c>
      <c r="H121" t="str">
        <f>_xlfn.XLOOKUP(Vet_Visits[[#This Row],[Charge_Code]],Charge_Reference!A:A,Charge_Reference!B:B)</f>
        <v>Nail Trim</v>
      </c>
      <c r="I121" t="s">
        <v>64</v>
      </c>
      <c r="J121" s="3">
        <v>996.18060000000003</v>
      </c>
      <c r="K121" t="s">
        <v>5</v>
      </c>
    </row>
    <row r="122" spans="1:11" x14ac:dyDescent="0.3">
      <c r="A122" s="4">
        <v>121</v>
      </c>
      <c r="B122" s="4">
        <v>63</v>
      </c>
      <c r="C122" s="4">
        <v>145</v>
      </c>
      <c r="D122" s="1" t="s">
        <v>220</v>
      </c>
      <c r="E122" s="1" t="s">
        <v>29</v>
      </c>
      <c r="F122" s="1" t="s">
        <v>38</v>
      </c>
      <c r="G122" s="2" t="s">
        <v>221</v>
      </c>
      <c r="H122" t="str">
        <f>_xlfn.XLOOKUP(Vet_Visits[[#This Row],[Charge_Code]],Charge_Reference!A:A,Charge_Reference!B:B)</f>
        <v>Radiographs</v>
      </c>
      <c r="I122" t="s">
        <v>51</v>
      </c>
      <c r="J122" s="3">
        <v>591.20360000000005</v>
      </c>
      <c r="K122" t="s">
        <v>5</v>
      </c>
    </row>
    <row r="123" spans="1:11" x14ac:dyDescent="0.3">
      <c r="A123" s="4">
        <v>122</v>
      </c>
      <c r="B123" s="4">
        <v>119</v>
      </c>
      <c r="C123" s="4">
        <v>45</v>
      </c>
      <c r="D123" s="1" t="s">
        <v>128</v>
      </c>
      <c r="E123" s="1" t="s">
        <v>41</v>
      </c>
      <c r="F123" s="1" t="s">
        <v>30</v>
      </c>
      <c r="G123" s="2" t="s">
        <v>173</v>
      </c>
      <c r="H123" t="str">
        <f>_xlfn.XLOOKUP(Vet_Visits[[#This Row],[Charge_Code]],Charge_Reference!A:A,Charge_Reference!B:B)</f>
        <v>Annual Bloodwork</v>
      </c>
      <c r="I123" t="s">
        <v>40</v>
      </c>
      <c r="J123" s="3">
        <v>-269.2534</v>
      </c>
      <c r="K123" t="s">
        <v>3</v>
      </c>
    </row>
    <row r="124" spans="1:11" x14ac:dyDescent="0.3">
      <c r="A124" s="4">
        <v>123</v>
      </c>
      <c r="B124" s="4">
        <v>21</v>
      </c>
      <c r="C124" s="4">
        <v>94</v>
      </c>
      <c r="D124" s="1" t="s">
        <v>81</v>
      </c>
      <c r="E124" s="1" t="s">
        <v>41</v>
      </c>
      <c r="F124" s="1" t="s">
        <v>102</v>
      </c>
      <c r="G124" s="2" t="s">
        <v>153</v>
      </c>
      <c r="H124" t="str">
        <f>_xlfn.XLOOKUP(Vet_Visits[[#This Row],[Charge_Code]],Charge_Reference!A:A,Charge_Reference!B:B)</f>
        <v>Radiographs</v>
      </c>
      <c r="I124" t="s">
        <v>51</v>
      </c>
      <c r="J124" s="3">
        <v>344.29219999999998</v>
      </c>
      <c r="K124" t="s">
        <v>3</v>
      </c>
    </row>
    <row r="125" spans="1:11" x14ac:dyDescent="0.3">
      <c r="A125" s="4">
        <v>124</v>
      </c>
      <c r="B125" s="4">
        <v>114</v>
      </c>
      <c r="C125" s="4">
        <v>119</v>
      </c>
      <c r="D125" s="1" t="s">
        <v>179</v>
      </c>
      <c r="E125" s="1" t="s">
        <v>29</v>
      </c>
      <c r="F125" s="1" t="s">
        <v>102</v>
      </c>
      <c r="G125" s="2" t="s">
        <v>222</v>
      </c>
      <c r="H125" t="str">
        <f>_xlfn.XLOOKUP(Vet_Visits[[#This Row],[Charge_Code]],Charge_Reference!A:A,Charge_Reference!B:B)</f>
        <v>Emergency Visit</v>
      </c>
      <c r="I125" t="s">
        <v>36</v>
      </c>
      <c r="J125" s="3">
        <v>307.71289999999999</v>
      </c>
      <c r="K125" t="s">
        <v>5</v>
      </c>
    </row>
    <row r="126" spans="1:11" x14ac:dyDescent="0.3">
      <c r="A126" s="4">
        <v>125</v>
      </c>
      <c r="B126" s="4">
        <v>47</v>
      </c>
      <c r="C126" s="4">
        <v>125</v>
      </c>
      <c r="D126" s="1" t="s">
        <v>101</v>
      </c>
      <c r="E126" s="1" t="s">
        <v>41</v>
      </c>
      <c r="F126" s="1" t="s">
        <v>107</v>
      </c>
      <c r="G126" s="2" t="s">
        <v>223</v>
      </c>
      <c r="H126" t="str">
        <f>_xlfn.XLOOKUP(Vet_Visits[[#This Row],[Charge_Code]],Charge_Reference!A:A,Charge_Reference!B:B)</f>
        <v>Emergency Visit</v>
      </c>
      <c r="I126" t="s">
        <v>36</v>
      </c>
      <c r="J126" s="3">
        <v>-25.637499999999999</v>
      </c>
      <c r="K126" t="s">
        <v>3</v>
      </c>
    </row>
    <row r="127" spans="1:11" x14ac:dyDescent="0.3">
      <c r="A127" s="4">
        <v>126</v>
      </c>
      <c r="B127" s="4">
        <v>67</v>
      </c>
      <c r="C127" s="4">
        <v>146</v>
      </c>
      <c r="D127" s="1" t="s">
        <v>70</v>
      </c>
      <c r="E127" s="1" t="s">
        <v>41</v>
      </c>
      <c r="F127" s="1" t="s">
        <v>171</v>
      </c>
      <c r="G127" s="2" t="s">
        <v>224</v>
      </c>
      <c r="H127" t="str">
        <f>_xlfn.XLOOKUP(Vet_Visits[[#This Row],[Charge_Code]],Charge_Reference!A:A,Charge_Reference!B:B)</f>
        <v>Surgery</v>
      </c>
      <c r="I127" t="s">
        <v>32</v>
      </c>
      <c r="J127" s="3">
        <v>-142.05969999999999</v>
      </c>
      <c r="K127" t="s">
        <v>5</v>
      </c>
    </row>
    <row r="128" spans="1:11" x14ac:dyDescent="0.3">
      <c r="A128" s="4">
        <v>127</v>
      </c>
      <c r="B128" s="4">
        <v>58</v>
      </c>
      <c r="C128" s="4">
        <v>98</v>
      </c>
      <c r="D128" s="1" t="s">
        <v>68</v>
      </c>
      <c r="E128" s="1" t="s">
        <v>29</v>
      </c>
      <c r="F128" s="1" t="s">
        <v>160</v>
      </c>
      <c r="G128" s="2" t="s">
        <v>225</v>
      </c>
      <c r="H128" t="str">
        <f>_xlfn.XLOOKUP(Vet_Visits[[#This Row],[Charge_Code]],Charge_Reference!A:A,Charge_Reference!B:B)</f>
        <v>Office Visit</v>
      </c>
      <c r="I128" t="s">
        <v>59</v>
      </c>
      <c r="J128" s="3">
        <v>927.40139999999997</v>
      </c>
      <c r="K128" t="s">
        <v>5</v>
      </c>
    </row>
    <row r="129" spans="1:11" x14ac:dyDescent="0.3">
      <c r="A129" s="4">
        <v>128</v>
      </c>
      <c r="B129" s="4">
        <v>58</v>
      </c>
      <c r="C129" s="4">
        <v>44</v>
      </c>
      <c r="D129" s="1" t="s">
        <v>84</v>
      </c>
      <c r="E129" s="1" t="s">
        <v>29</v>
      </c>
      <c r="F129" s="1" t="s">
        <v>61</v>
      </c>
      <c r="G129" s="2" t="s">
        <v>226</v>
      </c>
      <c r="H129" t="str">
        <f>_xlfn.XLOOKUP(Vet_Visits[[#This Row],[Charge_Code]],Charge_Reference!A:A,Charge_Reference!B:B)</f>
        <v>Nail Trim</v>
      </c>
      <c r="I129" t="s">
        <v>64</v>
      </c>
      <c r="J129" s="3">
        <v>-55.932299999999998</v>
      </c>
      <c r="K129" t="s">
        <v>5</v>
      </c>
    </row>
    <row r="130" spans="1:11" x14ac:dyDescent="0.3">
      <c r="A130" s="4">
        <v>129</v>
      </c>
      <c r="B130" s="4">
        <v>180</v>
      </c>
      <c r="C130" s="4">
        <v>118</v>
      </c>
      <c r="D130" s="1" t="s">
        <v>89</v>
      </c>
      <c r="E130" s="1" t="s">
        <v>41</v>
      </c>
      <c r="F130" s="1" t="s">
        <v>34</v>
      </c>
      <c r="G130" s="2" t="s">
        <v>227</v>
      </c>
      <c r="H130" t="str">
        <f>_xlfn.XLOOKUP(Vet_Visits[[#This Row],[Charge_Code]],Charge_Reference!A:A,Charge_Reference!B:B)</f>
        <v>Surgery</v>
      </c>
      <c r="I130" t="s">
        <v>32</v>
      </c>
      <c r="J130" s="3">
        <v>295.8938</v>
      </c>
      <c r="K130" t="s">
        <v>7</v>
      </c>
    </row>
    <row r="131" spans="1:11" x14ac:dyDescent="0.3">
      <c r="A131" s="4">
        <v>130</v>
      </c>
      <c r="B131" s="4">
        <v>157</v>
      </c>
      <c r="C131" s="4">
        <v>148</v>
      </c>
      <c r="D131" s="1" t="s">
        <v>33</v>
      </c>
      <c r="E131" s="1" t="s">
        <v>29</v>
      </c>
      <c r="F131" s="1" t="s">
        <v>111</v>
      </c>
      <c r="G131" s="2" t="s">
        <v>170</v>
      </c>
      <c r="H131" t="str">
        <f>_xlfn.XLOOKUP(Vet_Visits[[#This Row],[Charge_Code]],Charge_Reference!A:A,Charge_Reference!B:B)</f>
        <v>Radiographs</v>
      </c>
      <c r="I131" t="s">
        <v>51</v>
      </c>
      <c r="J131" s="3">
        <v>980.2133</v>
      </c>
      <c r="K131" t="s">
        <v>5</v>
      </c>
    </row>
    <row r="132" spans="1:11" x14ac:dyDescent="0.3">
      <c r="A132" s="4">
        <v>131</v>
      </c>
      <c r="B132" s="4">
        <v>159</v>
      </c>
      <c r="C132" s="4">
        <v>56</v>
      </c>
      <c r="D132" s="1" t="s">
        <v>109</v>
      </c>
      <c r="E132" s="1" t="s">
        <v>41</v>
      </c>
      <c r="F132" s="1" t="s">
        <v>145</v>
      </c>
      <c r="G132" s="2" t="s">
        <v>209</v>
      </c>
      <c r="H132" t="str">
        <f>_xlfn.XLOOKUP(Vet_Visits[[#This Row],[Charge_Code]],Charge_Reference!A:A,Charge_Reference!B:B)</f>
        <v>Dental Cleaning</v>
      </c>
      <c r="I132" t="s">
        <v>47</v>
      </c>
      <c r="J132" s="3">
        <v>178.17679999999999</v>
      </c>
      <c r="K132" t="s">
        <v>3</v>
      </c>
    </row>
    <row r="133" spans="1:11" x14ac:dyDescent="0.3">
      <c r="A133" s="4">
        <v>132</v>
      </c>
      <c r="B133" s="4">
        <v>110</v>
      </c>
      <c r="C133" s="4">
        <v>11</v>
      </c>
      <c r="D133" s="1" t="s">
        <v>109</v>
      </c>
      <c r="E133" s="1" t="s">
        <v>29</v>
      </c>
      <c r="F133" s="1" t="s">
        <v>61</v>
      </c>
      <c r="G133" s="2" t="s">
        <v>228</v>
      </c>
      <c r="H133" t="str">
        <f>_xlfn.XLOOKUP(Vet_Visits[[#This Row],[Charge_Code]],Charge_Reference!A:A,Charge_Reference!B:B)</f>
        <v>Annual Bloodwork</v>
      </c>
      <c r="I133" t="s">
        <v>40</v>
      </c>
      <c r="J133" s="3">
        <v>342.37950000000001</v>
      </c>
      <c r="K133" t="s">
        <v>7</v>
      </c>
    </row>
    <row r="134" spans="1:11" x14ac:dyDescent="0.3">
      <c r="A134" s="4">
        <v>133</v>
      </c>
      <c r="B134" s="4">
        <v>171</v>
      </c>
      <c r="C134" s="4">
        <v>17</v>
      </c>
      <c r="D134" s="1" t="s">
        <v>194</v>
      </c>
      <c r="E134" s="1" t="s">
        <v>41</v>
      </c>
      <c r="F134" s="1" t="s">
        <v>53</v>
      </c>
      <c r="G134" s="2" t="s">
        <v>138</v>
      </c>
      <c r="H134" t="str">
        <f>_xlfn.XLOOKUP(Vet_Visits[[#This Row],[Charge_Code]],Charge_Reference!A:A,Charge_Reference!B:B)</f>
        <v>Surgery</v>
      </c>
      <c r="I134" t="s">
        <v>32</v>
      </c>
      <c r="J134" s="3">
        <v>800.8288</v>
      </c>
      <c r="K134" t="s">
        <v>5</v>
      </c>
    </row>
    <row r="135" spans="1:11" x14ac:dyDescent="0.3">
      <c r="A135" s="4">
        <v>134</v>
      </c>
      <c r="B135" s="4">
        <v>20</v>
      </c>
      <c r="C135" s="4">
        <v>59</v>
      </c>
      <c r="D135" s="1" t="s">
        <v>44</v>
      </c>
      <c r="E135" s="1" t="s">
        <v>29</v>
      </c>
      <c r="F135" s="1" t="s">
        <v>145</v>
      </c>
      <c r="G135" s="2" t="s">
        <v>229</v>
      </c>
      <c r="H135" t="str">
        <f>_xlfn.XLOOKUP(Vet_Visits[[#This Row],[Charge_Code]],Charge_Reference!A:A,Charge_Reference!B:B)</f>
        <v>Emergency Visit</v>
      </c>
      <c r="I135" t="s">
        <v>36</v>
      </c>
      <c r="J135" s="3">
        <v>149.8827</v>
      </c>
      <c r="K135" t="s">
        <v>7</v>
      </c>
    </row>
    <row r="136" spans="1:11" x14ac:dyDescent="0.3">
      <c r="A136" s="4">
        <v>135</v>
      </c>
      <c r="B136" s="4">
        <v>99</v>
      </c>
      <c r="C136" s="4">
        <v>26</v>
      </c>
      <c r="D136" s="1" t="s">
        <v>230</v>
      </c>
      <c r="E136" s="1" t="s">
        <v>29</v>
      </c>
      <c r="F136" s="1" t="s">
        <v>82</v>
      </c>
      <c r="G136" s="2" t="s">
        <v>216</v>
      </c>
      <c r="H136" t="str">
        <f>_xlfn.XLOOKUP(Vet_Visits[[#This Row],[Charge_Code]],Charge_Reference!A:A,Charge_Reference!B:B)</f>
        <v>Nail Trim</v>
      </c>
      <c r="I136" t="s">
        <v>64</v>
      </c>
      <c r="J136" s="3">
        <v>-195.74870000000001</v>
      </c>
      <c r="K136" t="s">
        <v>5</v>
      </c>
    </row>
    <row r="137" spans="1:11" x14ac:dyDescent="0.3">
      <c r="A137" s="4">
        <v>136</v>
      </c>
      <c r="B137" s="4">
        <v>185</v>
      </c>
      <c r="C137" s="4">
        <v>22</v>
      </c>
      <c r="D137" s="1" t="s">
        <v>101</v>
      </c>
      <c r="E137" s="1" t="s">
        <v>41</v>
      </c>
      <c r="F137" s="1" t="s">
        <v>85</v>
      </c>
      <c r="G137" s="2" t="s">
        <v>146</v>
      </c>
      <c r="H137" t="str">
        <f>_xlfn.XLOOKUP(Vet_Visits[[#This Row],[Charge_Code]],Charge_Reference!A:A,Charge_Reference!B:B)</f>
        <v>Nail Trim</v>
      </c>
      <c r="I137" t="s">
        <v>64</v>
      </c>
      <c r="J137" s="3">
        <v>7.9272999999999998</v>
      </c>
      <c r="K137" t="s">
        <v>3</v>
      </c>
    </row>
    <row r="138" spans="1:11" x14ac:dyDescent="0.3">
      <c r="A138" s="4">
        <v>137</v>
      </c>
      <c r="B138" s="4">
        <v>51</v>
      </c>
      <c r="C138" s="4">
        <v>133</v>
      </c>
      <c r="D138" s="1" t="s">
        <v>115</v>
      </c>
      <c r="E138" s="1" t="s">
        <v>41</v>
      </c>
      <c r="F138" s="1" t="s">
        <v>38</v>
      </c>
      <c r="G138" s="2" t="s">
        <v>231</v>
      </c>
      <c r="H138" t="str">
        <f>_xlfn.XLOOKUP(Vet_Visits[[#This Row],[Charge_Code]],Charge_Reference!A:A,Charge_Reference!B:B)</f>
        <v>Office Visit</v>
      </c>
      <c r="I138" t="s">
        <v>59</v>
      </c>
      <c r="J138" s="3">
        <v>438.78190000000001</v>
      </c>
      <c r="K138" t="s">
        <v>7</v>
      </c>
    </row>
    <row r="139" spans="1:11" x14ac:dyDescent="0.3">
      <c r="A139" s="4">
        <v>138</v>
      </c>
      <c r="B139" s="4">
        <v>50</v>
      </c>
      <c r="C139" s="4">
        <v>140</v>
      </c>
      <c r="D139" s="1" t="s">
        <v>158</v>
      </c>
      <c r="E139" s="1" t="s">
        <v>29</v>
      </c>
      <c r="F139" s="1" t="s">
        <v>45</v>
      </c>
      <c r="G139" s="2" t="s">
        <v>232</v>
      </c>
      <c r="H139" t="str">
        <f>_xlfn.XLOOKUP(Vet_Visits[[#This Row],[Charge_Code]],Charge_Reference!A:A,Charge_Reference!B:B)</f>
        <v>Nail Trim</v>
      </c>
      <c r="I139" t="s">
        <v>64</v>
      </c>
      <c r="J139" s="3">
        <v>316.45010000000002</v>
      </c>
      <c r="K139" t="s">
        <v>3</v>
      </c>
    </row>
    <row r="140" spans="1:11" x14ac:dyDescent="0.3">
      <c r="A140" s="4">
        <v>139</v>
      </c>
      <c r="B140" s="4">
        <v>113</v>
      </c>
      <c r="C140" s="4">
        <v>50</v>
      </c>
      <c r="D140" s="1" t="s">
        <v>197</v>
      </c>
      <c r="E140" s="1" t="s">
        <v>29</v>
      </c>
      <c r="F140" s="1" t="s">
        <v>87</v>
      </c>
      <c r="G140" s="2" t="s">
        <v>141</v>
      </c>
      <c r="H140" t="str">
        <f>_xlfn.XLOOKUP(Vet_Visits[[#This Row],[Charge_Code]],Charge_Reference!A:A,Charge_Reference!B:B)</f>
        <v>Dental Cleaning</v>
      </c>
      <c r="I140" t="s">
        <v>47</v>
      </c>
      <c r="J140" s="3">
        <v>350.8954</v>
      </c>
      <c r="K140" t="s">
        <v>5</v>
      </c>
    </row>
    <row r="141" spans="1:11" x14ac:dyDescent="0.3">
      <c r="A141" s="4">
        <v>140</v>
      </c>
      <c r="B141" s="4">
        <v>118</v>
      </c>
      <c r="C141" s="4">
        <v>32</v>
      </c>
      <c r="D141" s="1" t="s">
        <v>211</v>
      </c>
      <c r="E141" s="1" t="s">
        <v>41</v>
      </c>
      <c r="F141" s="1" t="s">
        <v>73</v>
      </c>
      <c r="G141" s="2" t="s">
        <v>196</v>
      </c>
      <c r="H141" t="str">
        <f>_xlfn.XLOOKUP(Vet_Visits[[#This Row],[Charge_Code]],Charge_Reference!A:A,Charge_Reference!B:B)</f>
        <v>Surgery</v>
      </c>
      <c r="I141" t="s">
        <v>32</v>
      </c>
      <c r="J141" s="3">
        <v>828.02179999999998</v>
      </c>
      <c r="K141" t="s">
        <v>3</v>
      </c>
    </row>
    <row r="142" spans="1:11" x14ac:dyDescent="0.3">
      <c r="A142" s="4">
        <v>141</v>
      </c>
      <c r="B142" s="4">
        <v>92</v>
      </c>
      <c r="C142" s="4">
        <v>1</v>
      </c>
      <c r="D142" s="1" t="s">
        <v>162</v>
      </c>
      <c r="E142" s="1" t="s">
        <v>29</v>
      </c>
      <c r="F142" s="1" t="s">
        <v>94</v>
      </c>
      <c r="G142" s="2" t="s">
        <v>39</v>
      </c>
      <c r="H142" t="str">
        <f>_xlfn.XLOOKUP(Vet_Visits[[#This Row],[Charge_Code]],Charge_Reference!A:A,Charge_Reference!B:B)</f>
        <v>Annual Bloodwork</v>
      </c>
      <c r="I142" t="s">
        <v>40</v>
      </c>
      <c r="J142" s="3">
        <v>217.81880000000001</v>
      </c>
      <c r="K142" t="s">
        <v>5</v>
      </c>
    </row>
    <row r="143" spans="1:11" x14ac:dyDescent="0.3">
      <c r="A143" s="4">
        <v>142</v>
      </c>
      <c r="B143" s="4">
        <v>77</v>
      </c>
      <c r="C143" s="4">
        <v>122</v>
      </c>
      <c r="D143" s="1" t="s">
        <v>60</v>
      </c>
      <c r="E143" s="1" t="s">
        <v>29</v>
      </c>
      <c r="F143" s="1" t="s">
        <v>76</v>
      </c>
      <c r="G143" s="2" t="s">
        <v>233</v>
      </c>
      <c r="H143" t="str">
        <f>_xlfn.XLOOKUP(Vet_Visits[[#This Row],[Charge_Code]],Charge_Reference!A:A,Charge_Reference!B:B)</f>
        <v>Emergency Visit</v>
      </c>
      <c r="I143" t="s">
        <v>36</v>
      </c>
      <c r="J143" s="3">
        <v>551.09540000000004</v>
      </c>
      <c r="K143" t="s">
        <v>3</v>
      </c>
    </row>
    <row r="144" spans="1:11" x14ac:dyDescent="0.3">
      <c r="A144" s="4">
        <v>143</v>
      </c>
      <c r="B144" s="4">
        <v>47</v>
      </c>
      <c r="C144" s="4">
        <v>17</v>
      </c>
      <c r="D144" s="1" t="s">
        <v>147</v>
      </c>
      <c r="E144" s="1" t="s">
        <v>29</v>
      </c>
      <c r="F144" s="1" t="s">
        <v>42</v>
      </c>
      <c r="G144" s="2" t="s">
        <v>234</v>
      </c>
      <c r="H144" t="str">
        <f>_xlfn.XLOOKUP(Vet_Visits[[#This Row],[Charge_Code]],Charge_Reference!A:A,Charge_Reference!B:B)</f>
        <v>Annual Bloodwork</v>
      </c>
      <c r="I144" t="s">
        <v>40</v>
      </c>
      <c r="J144" s="3">
        <v>-41.724899999999998</v>
      </c>
      <c r="K144" t="s">
        <v>5</v>
      </c>
    </row>
    <row r="145" spans="1:11" x14ac:dyDescent="0.3">
      <c r="A145" s="4">
        <v>144</v>
      </c>
      <c r="B145" s="4">
        <v>174</v>
      </c>
      <c r="C145" s="4">
        <v>33</v>
      </c>
      <c r="D145" s="1" t="s">
        <v>183</v>
      </c>
      <c r="E145" s="1" t="s">
        <v>41</v>
      </c>
      <c r="F145" s="1" t="s">
        <v>151</v>
      </c>
      <c r="G145" s="2" t="s">
        <v>235</v>
      </c>
      <c r="H145" t="str">
        <f>_xlfn.XLOOKUP(Vet_Visits[[#This Row],[Charge_Code]],Charge_Reference!A:A,Charge_Reference!B:B)</f>
        <v>Radiographs</v>
      </c>
      <c r="I145" t="s">
        <v>51</v>
      </c>
      <c r="J145" s="3">
        <v>933.28129999999999</v>
      </c>
      <c r="K145" t="s">
        <v>7</v>
      </c>
    </row>
    <row r="146" spans="1:11" x14ac:dyDescent="0.3">
      <c r="A146" s="4">
        <v>145</v>
      </c>
      <c r="B146" s="4">
        <v>50</v>
      </c>
      <c r="C146" s="4">
        <v>116</v>
      </c>
      <c r="D146" s="1" t="s">
        <v>158</v>
      </c>
      <c r="E146" s="1" t="s">
        <v>29</v>
      </c>
      <c r="F146" s="1" t="s">
        <v>94</v>
      </c>
      <c r="G146" s="2" t="s">
        <v>236</v>
      </c>
      <c r="H146" t="str">
        <f>_xlfn.XLOOKUP(Vet_Visits[[#This Row],[Charge_Code]],Charge_Reference!A:A,Charge_Reference!B:B)</f>
        <v>Surgery</v>
      </c>
      <c r="I146" t="s">
        <v>32</v>
      </c>
      <c r="J146" s="3">
        <v>684.50080000000003</v>
      </c>
      <c r="K146" t="s">
        <v>3</v>
      </c>
    </row>
    <row r="147" spans="1:11" x14ac:dyDescent="0.3">
      <c r="A147" s="4">
        <v>146</v>
      </c>
      <c r="B147" s="4">
        <v>178</v>
      </c>
      <c r="C147" s="4">
        <v>86</v>
      </c>
      <c r="D147" s="1" t="s">
        <v>33</v>
      </c>
      <c r="E147" s="1" t="s">
        <v>29</v>
      </c>
      <c r="F147" s="1" t="s">
        <v>71</v>
      </c>
      <c r="G147" s="2" t="s">
        <v>117</v>
      </c>
      <c r="H147" t="str">
        <f>_xlfn.XLOOKUP(Vet_Visits[[#This Row],[Charge_Code]],Charge_Reference!A:A,Charge_Reference!B:B)</f>
        <v>Annual Bloodwork</v>
      </c>
      <c r="I147" t="s">
        <v>40</v>
      </c>
      <c r="J147" s="3">
        <v>463.15280000000001</v>
      </c>
      <c r="K147" t="s">
        <v>5</v>
      </c>
    </row>
    <row r="148" spans="1:11" x14ac:dyDescent="0.3">
      <c r="A148" s="4">
        <v>147</v>
      </c>
      <c r="B148" s="4">
        <v>109</v>
      </c>
      <c r="C148" s="4">
        <v>119</v>
      </c>
      <c r="D148" s="1" t="s">
        <v>220</v>
      </c>
      <c r="E148" s="1" t="s">
        <v>41</v>
      </c>
      <c r="F148" s="1" t="s">
        <v>34</v>
      </c>
      <c r="G148" s="2" t="s">
        <v>237</v>
      </c>
      <c r="H148" t="str">
        <f>_xlfn.XLOOKUP(Vet_Visits[[#This Row],[Charge_Code]],Charge_Reference!A:A,Charge_Reference!B:B)</f>
        <v>Dental Cleaning</v>
      </c>
      <c r="I148" t="s">
        <v>47</v>
      </c>
      <c r="J148" s="3">
        <v>952.69799999999998</v>
      </c>
      <c r="K148" t="s">
        <v>3</v>
      </c>
    </row>
    <row r="149" spans="1:11" x14ac:dyDescent="0.3">
      <c r="A149" s="4">
        <v>148</v>
      </c>
      <c r="B149" s="4">
        <v>183</v>
      </c>
      <c r="C149" s="4">
        <v>95</v>
      </c>
      <c r="D149" s="1" t="s">
        <v>81</v>
      </c>
      <c r="E149" s="1" t="s">
        <v>29</v>
      </c>
      <c r="F149" s="1" t="s">
        <v>61</v>
      </c>
      <c r="G149" s="2" t="s">
        <v>238</v>
      </c>
      <c r="H149" t="str">
        <f>_xlfn.XLOOKUP(Vet_Visits[[#This Row],[Charge_Code]],Charge_Reference!A:A,Charge_Reference!B:B)</f>
        <v>Nail Trim</v>
      </c>
      <c r="I149" t="s">
        <v>64</v>
      </c>
      <c r="J149" s="3">
        <v>844.56769999999995</v>
      </c>
      <c r="K149" t="s">
        <v>5</v>
      </c>
    </row>
    <row r="150" spans="1:11" x14ac:dyDescent="0.3">
      <c r="A150" s="4">
        <v>149</v>
      </c>
      <c r="B150" s="4">
        <v>11</v>
      </c>
      <c r="C150" s="4">
        <v>52</v>
      </c>
      <c r="D150" s="1" t="s">
        <v>149</v>
      </c>
      <c r="E150" s="1" t="s">
        <v>29</v>
      </c>
      <c r="F150" s="1" t="s">
        <v>76</v>
      </c>
      <c r="G150" s="2" t="s">
        <v>239</v>
      </c>
      <c r="H150" t="str">
        <f>_xlfn.XLOOKUP(Vet_Visits[[#This Row],[Charge_Code]],Charge_Reference!A:A,Charge_Reference!B:B)</f>
        <v>Surgery</v>
      </c>
      <c r="I150" t="s">
        <v>32</v>
      </c>
      <c r="J150" s="3">
        <v>292.92410000000001</v>
      </c>
      <c r="K150" t="s">
        <v>5</v>
      </c>
    </row>
    <row r="151" spans="1:11" x14ac:dyDescent="0.3">
      <c r="A151" s="4">
        <v>150</v>
      </c>
      <c r="B151" s="4">
        <v>91</v>
      </c>
      <c r="C151" s="4">
        <v>36</v>
      </c>
      <c r="D151" s="1" t="s">
        <v>70</v>
      </c>
      <c r="E151" s="1" t="s">
        <v>41</v>
      </c>
      <c r="F151" s="1" t="s">
        <v>42</v>
      </c>
      <c r="G151" s="2" t="s">
        <v>240</v>
      </c>
      <c r="H151" t="str">
        <f>_xlfn.XLOOKUP(Vet_Visits[[#This Row],[Charge_Code]],Charge_Reference!A:A,Charge_Reference!B:B)</f>
        <v>Office Visit</v>
      </c>
      <c r="I151" t="s">
        <v>59</v>
      </c>
      <c r="J151" s="3">
        <v>235.36689999999999</v>
      </c>
      <c r="K151" t="s">
        <v>5</v>
      </c>
    </row>
    <row r="152" spans="1:11" x14ac:dyDescent="0.3">
      <c r="A152" s="4">
        <v>151</v>
      </c>
      <c r="B152" s="4">
        <v>107</v>
      </c>
      <c r="C152" s="4">
        <v>3</v>
      </c>
      <c r="D152" s="1" t="s">
        <v>185</v>
      </c>
      <c r="E152" s="1" t="s">
        <v>41</v>
      </c>
      <c r="F152" s="1" t="s">
        <v>53</v>
      </c>
      <c r="G152" s="2" t="s">
        <v>241</v>
      </c>
      <c r="H152" t="str">
        <f>_xlfn.XLOOKUP(Vet_Visits[[#This Row],[Charge_Code]],Charge_Reference!A:A,Charge_Reference!B:B)</f>
        <v>Surgery</v>
      </c>
      <c r="I152" t="s">
        <v>32</v>
      </c>
      <c r="J152" s="3">
        <v>55.591500000000003</v>
      </c>
      <c r="K152" t="s">
        <v>3</v>
      </c>
    </row>
    <row r="153" spans="1:11" x14ac:dyDescent="0.3">
      <c r="A153" s="4">
        <v>152</v>
      </c>
      <c r="B153" s="4">
        <v>55</v>
      </c>
      <c r="C153" s="4">
        <v>33</v>
      </c>
      <c r="D153" s="1" t="s">
        <v>147</v>
      </c>
      <c r="E153" s="1" t="s">
        <v>29</v>
      </c>
      <c r="F153" s="1" t="s">
        <v>45</v>
      </c>
      <c r="G153" s="2" t="s">
        <v>242</v>
      </c>
      <c r="H153" t="str">
        <f>_xlfn.XLOOKUP(Vet_Visits[[#This Row],[Charge_Code]],Charge_Reference!A:A,Charge_Reference!B:B)</f>
        <v>Surgery</v>
      </c>
      <c r="I153" t="s">
        <v>32</v>
      </c>
      <c r="J153" s="3">
        <v>990.17259999999999</v>
      </c>
      <c r="K153" t="s">
        <v>5</v>
      </c>
    </row>
    <row r="154" spans="1:11" x14ac:dyDescent="0.3">
      <c r="A154" s="4">
        <v>153</v>
      </c>
      <c r="B154" s="4">
        <v>18</v>
      </c>
      <c r="C154" s="4">
        <v>148</v>
      </c>
      <c r="D154" s="1" t="s">
        <v>120</v>
      </c>
      <c r="E154" s="1" t="s">
        <v>41</v>
      </c>
      <c r="F154" s="1" t="s">
        <v>82</v>
      </c>
      <c r="G154" s="2" t="s">
        <v>243</v>
      </c>
      <c r="H154" t="str">
        <f>_xlfn.XLOOKUP(Vet_Visits[[#This Row],[Charge_Code]],Charge_Reference!A:A,Charge_Reference!B:B)</f>
        <v>Office Visit</v>
      </c>
      <c r="I154" t="s">
        <v>59</v>
      </c>
      <c r="J154" s="3">
        <v>705.97770000000003</v>
      </c>
      <c r="K154" t="s">
        <v>3</v>
      </c>
    </row>
    <row r="155" spans="1:11" x14ac:dyDescent="0.3">
      <c r="A155" s="4">
        <v>154</v>
      </c>
      <c r="B155" s="4">
        <v>25</v>
      </c>
      <c r="C155" s="4">
        <v>25</v>
      </c>
      <c r="D155" s="1" t="s">
        <v>183</v>
      </c>
      <c r="E155" s="1" t="s">
        <v>41</v>
      </c>
      <c r="F155" s="1" t="s">
        <v>104</v>
      </c>
      <c r="G155" s="2" t="s">
        <v>237</v>
      </c>
      <c r="H155" t="str">
        <f>_xlfn.XLOOKUP(Vet_Visits[[#This Row],[Charge_Code]],Charge_Reference!A:A,Charge_Reference!B:B)</f>
        <v>Surgery</v>
      </c>
      <c r="I155" t="s">
        <v>32</v>
      </c>
      <c r="J155" s="3">
        <v>98.849199999999996</v>
      </c>
      <c r="K155" t="s">
        <v>3</v>
      </c>
    </row>
    <row r="156" spans="1:11" x14ac:dyDescent="0.3">
      <c r="A156" s="4">
        <v>155</v>
      </c>
      <c r="B156" s="4">
        <v>116</v>
      </c>
      <c r="C156" s="4">
        <v>85</v>
      </c>
      <c r="D156" s="1" t="s">
        <v>194</v>
      </c>
      <c r="E156" s="1" t="s">
        <v>29</v>
      </c>
      <c r="F156" s="1" t="s">
        <v>45</v>
      </c>
      <c r="G156" s="2" t="s">
        <v>186</v>
      </c>
      <c r="H156" t="str">
        <f>_xlfn.XLOOKUP(Vet_Visits[[#This Row],[Charge_Code]],Charge_Reference!A:A,Charge_Reference!B:B)</f>
        <v>Office Visit</v>
      </c>
      <c r="I156" t="s">
        <v>59</v>
      </c>
      <c r="J156" s="3">
        <v>-23.1691</v>
      </c>
      <c r="K156" t="s">
        <v>5</v>
      </c>
    </row>
    <row r="157" spans="1:11" x14ac:dyDescent="0.3">
      <c r="A157" s="4">
        <v>156</v>
      </c>
      <c r="B157" s="4">
        <v>154</v>
      </c>
      <c r="C157" s="4">
        <v>66</v>
      </c>
      <c r="D157" s="1" t="s">
        <v>37</v>
      </c>
      <c r="E157" s="1" t="s">
        <v>41</v>
      </c>
      <c r="F157" s="1" t="s">
        <v>34</v>
      </c>
      <c r="G157" s="2" t="s">
        <v>143</v>
      </c>
      <c r="H157" t="str">
        <f>_xlfn.XLOOKUP(Vet_Visits[[#This Row],[Charge_Code]],Charge_Reference!A:A,Charge_Reference!B:B)</f>
        <v>Vaccination</v>
      </c>
      <c r="I157" t="s">
        <v>55</v>
      </c>
      <c r="J157" s="3">
        <v>268.58409999999998</v>
      </c>
      <c r="K157" t="s">
        <v>7</v>
      </c>
    </row>
    <row r="158" spans="1:11" x14ac:dyDescent="0.3">
      <c r="A158" s="4">
        <v>157</v>
      </c>
      <c r="B158" s="4">
        <v>112</v>
      </c>
      <c r="C158" s="4">
        <v>34</v>
      </c>
      <c r="D158" s="1" t="s">
        <v>244</v>
      </c>
      <c r="E158" s="1" t="s">
        <v>41</v>
      </c>
      <c r="F158" s="1" t="s">
        <v>145</v>
      </c>
      <c r="G158" s="2" t="s">
        <v>124</v>
      </c>
      <c r="H158" t="str">
        <f>_xlfn.XLOOKUP(Vet_Visits[[#This Row],[Charge_Code]],Charge_Reference!A:A,Charge_Reference!B:B)</f>
        <v>Office Visit</v>
      </c>
      <c r="I158" t="s">
        <v>59</v>
      </c>
      <c r="J158" s="3">
        <v>90.513000000000005</v>
      </c>
      <c r="K158" t="s">
        <v>5</v>
      </c>
    </row>
    <row r="159" spans="1:11" x14ac:dyDescent="0.3">
      <c r="A159" s="4">
        <v>158</v>
      </c>
      <c r="B159" s="4">
        <v>185</v>
      </c>
      <c r="C159" s="4">
        <v>70</v>
      </c>
      <c r="D159" s="1" t="s">
        <v>139</v>
      </c>
      <c r="E159" s="1" t="s">
        <v>29</v>
      </c>
      <c r="F159" s="1" t="s">
        <v>76</v>
      </c>
      <c r="G159" s="2" t="s">
        <v>157</v>
      </c>
      <c r="H159" t="str">
        <f>_xlfn.XLOOKUP(Vet_Visits[[#This Row],[Charge_Code]],Charge_Reference!A:A,Charge_Reference!B:B)</f>
        <v>Annual Bloodwork</v>
      </c>
      <c r="I159" t="s">
        <v>40</v>
      </c>
      <c r="J159" s="3">
        <v>907.32479999999998</v>
      </c>
      <c r="K159" t="s">
        <v>5</v>
      </c>
    </row>
    <row r="160" spans="1:11" x14ac:dyDescent="0.3">
      <c r="A160" s="4">
        <v>159</v>
      </c>
      <c r="B160" s="4">
        <v>87</v>
      </c>
      <c r="C160" s="4">
        <v>47</v>
      </c>
      <c r="D160" s="1" t="s">
        <v>101</v>
      </c>
      <c r="E160" s="1" t="s">
        <v>41</v>
      </c>
      <c r="F160" s="1" t="s">
        <v>49</v>
      </c>
      <c r="G160" s="2" t="s">
        <v>114</v>
      </c>
      <c r="H160" t="str">
        <f>_xlfn.XLOOKUP(Vet_Visits[[#This Row],[Charge_Code]],Charge_Reference!A:A,Charge_Reference!B:B)</f>
        <v>Surgery</v>
      </c>
      <c r="I160" t="s">
        <v>32</v>
      </c>
      <c r="J160" s="3">
        <v>-54.969900000000003</v>
      </c>
      <c r="K160" t="s">
        <v>7</v>
      </c>
    </row>
    <row r="161" spans="1:11" x14ac:dyDescent="0.3">
      <c r="A161" s="4">
        <v>160</v>
      </c>
      <c r="B161" s="4">
        <v>147</v>
      </c>
      <c r="C161" s="4">
        <v>69</v>
      </c>
      <c r="D161" s="1" t="s">
        <v>214</v>
      </c>
      <c r="E161" s="1" t="s">
        <v>29</v>
      </c>
      <c r="F161" s="1" t="s">
        <v>38</v>
      </c>
      <c r="G161" s="2" t="s">
        <v>103</v>
      </c>
      <c r="H161" t="str">
        <f>_xlfn.XLOOKUP(Vet_Visits[[#This Row],[Charge_Code]],Charge_Reference!A:A,Charge_Reference!B:B)</f>
        <v>Vaccination</v>
      </c>
      <c r="I161" t="s">
        <v>55</v>
      </c>
      <c r="J161" s="3">
        <v>-208.95840000000001</v>
      </c>
      <c r="K161" t="s">
        <v>7</v>
      </c>
    </row>
    <row r="162" spans="1:11" x14ac:dyDescent="0.3">
      <c r="A162" s="4">
        <v>161</v>
      </c>
      <c r="B162" s="4">
        <v>131</v>
      </c>
      <c r="C162" s="4">
        <v>83</v>
      </c>
      <c r="D162" s="1" t="s">
        <v>91</v>
      </c>
      <c r="E162" s="1" t="s">
        <v>41</v>
      </c>
      <c r="F162" s="1" t="s">
        <v>151</v>
      </c>
      <c r="G162" s="2" t="s">
        <v>225</v>
      </c>
      <c r="H162" t="str">
        <f>_xlfn.XLOOKUP(Vet_Visits[[#This Row],[Charge_Code]],Charge_Reference!A:A,Charge_Reference!B:B)</f>
        <v>Annual Bloodwork</v>
      </c>
      <c r="I162" t="s">
        <v>40</v>
      </c>
      <c r="J162" s="3">
        <v>-245.36539999999999</v>
      </c>
      <c r="K162" t="s">
        <v>7</v>
      </c>
    </row>
    <row r="163" spans="1:11" x14ac:dyDescent="0.3">
      <c r="A163" s="4">
        <v>162</v>
      </c>
      <c r="B163" s="4">
        <v>177</v>
      </c>
      <c r="C163" s="4">
        <v>84</v>
      </c>
      <c r="D163" s="1" t="s">
        <v>56</v>
      </c>
      <c r="E163" s="1" t="s">
        <v>29</v>
      </c>
      <c r="F163" s="1" t="s">
        <v>66</v>
      </c>
      <c r="G163" s="2" t="s">
        <v>245</v>
      </c>
      <c r="H163" t="str">
        <f>_xlfn.XLOOKUP(Vet_Visits[[#This Row],[Charge_Code]],Charge_Reference!A:A,Charge_Reference!B:B)</f>
        <v>Annual Bloodwork</v>
      </c>
      <c r="I163" t="s">
        <v>40</v>
      </c>
      <c r="J163" s="3">
        <v>429.26049999999998</v>
      </c>
      <c r="K163" t="s">
        <v>7</v>
      </c>
    </row>
    <row r="164" spans="1:11" x14ac:dyDescent="0.3">
      <c r="A164" s="4">
        <v>163</v>
      </c>
      <c r="B164" s="4">
        <v>166</v>
      </c>
      <c r="C164" s="4">
        <v>40</v>
      </c>
      <c r="D164" s="1" t="s">
        <v>230</v>
      </c>
      <c r="E164" s="1" t="s">
        <v>29</v>
      </c>
      <c r="F164" s="1" t="s">
        <v>131</v>
      </c>
      <c r="G164" s="2" t="s">
        <v>192</v>
      </c>
      <c r="H164" t="str">
        <f>_xlfn.XLOOKUP(Vet_Visits[[#This Row],[Charge_Code]],Charge_Reference!A:A,Charge_Reference!B:B)</f>
        <v>Dental Cleaning</v>
      </c>
      <c r="I164" t="s">
        <v>47</v>
      </c>
      <c r="J164" s="3">
        <v>123.7726</v>
      </c>
      <c r="K164" t="s">
        <v>3</v>
      </c>
    </row>
    <row r="165" spans="1:11" x14ac:dyDescent="0.3">
      <c r="A165" s="4">
        <v>164</v>
      </c>
      <c r="B165" s="4">
        <v>7</v>
      </c>
      <c r="C165" s="4">
        <v>114</v>
      </c>
      <c r="D165" s="1" t="s">
        <v>176</v>
      </c>
      <c r="E165" s="1" t="s">
        <v>29</v>
      </c>
      <c r="F165" s="1" t="s">
        <v>97</v>
      </c>
      <c r="G165" s="2" t="s">
        <v>117</v>
      </c>
      <c r="H165" t="str">
        <f>_xlfn.XLOOKUP(Vet_Visits[[#This Row],[Charge_Code]],Charge_Reference!A:A,Charge_Reference!B:B)</f>
        <v>Nail Trim</v>
      </c>
      <c r="I165" t="s">
        <v>64</v>
      </c>
      <c r="J165" s="3">
        <v>-99.235699999999994</v>
      </c>
      <c r="K165" t="s">
        <v>5</v>
      </c>
    </row>
    <row r="166" spans="1:11" x14ac:dyDescent="0.3">
      <c r="A166" s="4">
        <v>165</v>
      </c>
      <c r="B166" s="4">
        <v>104</v>
      </c>
      <c r="C166" s="4">
        <v>32</v>
      </c>
      <c r="D166" s="1" t="s">
        <v>68</v>
      </c>
      <c r="E166" s="1" t="s">
        <v>41</v>
      </c>
      <c r="F166" s="1" t="s">
        <v>45</v>
      </c>
      <c r="G166" s="2" t="s">
        <v>246</v>
      </c>
      <c r="H166" t="str">
        <f>_xlfn.XLOOKUP(Vet_Visits[[#This Row],[Charge_Code]],Charge_Reference!A:A,Charge_Reference!B:B)</f>
        <v>Emergency Visit</v>
      </c>
      <c r="I166" t="s">
        <v>36</v>
      </c>
      <c r="J166" s="3">
        <v>2.5354000000000001</v>
      </c>
      <c r="K166" t="s">
        <v>5</v>
      </c>
    </row>
    <row r="167" spans="1:11" x14ac:dyDescent="0.3">
      <c r="A167" s="4">
        <v>166</v>
      </c>
      <c r="B167" s="4">
        <v>174</v>
      </c>
      <c r="C167" s="4">
        <v>102</v>
      </c>
      <c r="D167" s="1" t="s">
        <v>28</v>
      </c>
      <c r="E167" s="1" t="s">
        <v>29</v>
      </c>
      <c r="F167" s="1" t="s">
        <v>85</v>
      </c>
      <c r="G167" s="2" t="s">
        <v>247</v>
      </c>
      <c r="H167" t="str">
        <f>_xlfn.XLOOKUP(Vet_Visits[[#This Row],[Charge_Code]],Charge_Reference!A:A,Charge_Reference!B:B)</f>
        <v>Radiographs</v>
      </c>
      <c r="I167" t="s">
        <v>51</v>
      </c>
      <c r="J167" s="3">
        <v>528.31460000000004</v>
      </c>
      <c r="K167" t="s">
        <v>7</v>
      </c>
    </row>
    <row r="168" spans="1:11" x14ac:dyDescent="0.3">
      <c r="A168" s="4">
        <v>167</v>
      </c>
      <c r="B168" s="4">
        <v>115</v>
      </c>
      <c r="C168" s="4">
        <v>22</v>
      </c>
      <c r="D168" s="1" t="s">
        <v>162</v>
      </c>
      <c r="E168" s="1" t="s">
        <v>29</v>
      </c>
      <c r="F168" s="1" t="s">
        <v>71</v>
      </c>
      <c r="G168" s="2" t="s">
        <v>190</v>
      </c>
      <c r="H168" t="str">
        <f>_xlfn.XLOOKUP(Vet_Visits[[#This Row],[Charge_Code]],Charge_Reference!A:A,Charge_Reference!B:B)</f>
        <v>Dental Cleaning</v>
      </c>
      <c r="I168" t="s">
        <v>47</v>
      </c>
      <c r="J168" s="3">
        <v>783.82770000000005</v>
      </c>
      <c r="K168" t="s">
        <v>5</v>
      </c>
    </row>
    <row r="169" spans="1:11" x14ac:dyDescent="0.3">
      <c r="A169" s="4">
        <v>168</v>
      </c>
      <c r="B169" s="4">
        <v>137</v>
      </c>
      <c r="C169" s="4">
        <v>77</v>
      </c>
      <c r="D169" s="1" t="s">
        <v>220</v>
      </c>
      <c r="E169" s="1" t="s">
        <v>29</v>
      </c>
      <c r="F169" s="1" t="s">
        <v>111</v>
      </c>
      <c r="G169" s="2" t="s">
        <v>144</v>
      </c>
      <c r="H169" t="str">
        <f>_xlfn.XLOOKUP(Vet_Visits[[#This Row],[Charge_Code]],Charge_Reference!A:A,Charge_Reference!B:B)</f>
        <v>Vaccination</v>
      </c>
      <c r="I169" t="s">
        <v>55</v>
      </c>
      <c r="J169" s="3">
        <v>9.56</v>
      </c>
      <c r="K169" t="s">
        <v>5</v>
      </c>
    </row>
    <row r="170" spans="1:11" x14ac:dyDescent="0.3">
      <c r="A170" s="4">
        <v>169</v>
      </c>
      <c r="B170" s="4">
        <v>90</v>
      </c>
      <c r="C170" s="4">
        <v>99</v>
      </c>
      <c r="D170" s="1" t="s">
        <v>211</v>
      </c>
      <c r="E170" s="1" t="s">
        <v>41</v>
      </c>
      <c r="F170" s="1" t="s">
        <v>76</v>
      </c>
      <c r="G170" s="2" t="s">
        <v>248</v>
      </c>
      <c r="H170" t="str">
        <f>_xlfn.XLOOKUP(Vet_Visits[[#This Row],[Charge_Code]],Charge_Reference!A:A,Charge_Reference!B:B)</f>
        <v>Emergency Visit</v>
      </c>
      <c r="I170" t="s">
        <v>36</v>
      </c>
      <c r="J170" s="3">
        <v>172.94040000000001</v>
      </c>
      <c r="K170" t="s">
        <v>5</v>
      </c>
    </row>
    <row r="171" spans="1:11" x14ac:dyDescent="0.3">
      <c r="A171" s="4">
        <v>170</v>
      </c>
      <c r="B171" s="4">
        <v>40</v>
      </c>
      <c r="C171" s="4">
        <v>54</v>
      </c>
      <c r="D171" s="1" t="s">
        <v>139</v>
      </c>
      <c r="E171" s="1" t="s">
        <v>29</v>
      </c>
      <c r="F171" s="1" t="s">
        <v>135</v>
      </c>
      <c r="G171" s="2" t="s">
        <v>249</v>
      </c>
      <c r="H171" t="str">
        <f>_xlfn.XLOOKUP(Vet_Visits[[#This Row],[Charge_Code]],Charge_Reference!A:A,Charge_Reference!B:B)</f>
        <v>Nail Trim</v>
      </c>
      <c r="I171" t="s">
        <v>64</v>
      </c>
      <c r="J171" s="3">
        <v>318.49880000000002</v>
      </c>
      <c r="K171" t="s">
        <v>3</v>
      </c>
    </row>
    <row r="172" spans="1:11" x14ac:dyDescent="0.3">
      <c r="A172" s="4">
        <v>171</v>
      </c>
      <c r="B172" s="4">
        <v>44</v>
      </c>
      <c r="C172" s="4">
        <v>64</v>
      </c>
      <c r="D172" s="1" t="s">
        <v>96</v>
      </c>
      <c r="E172" s="1" t="s">
        <v>41</v>
      </c>
      <c r="F172" s="1" t="s">
        <v>82</v>
      </c>
      <c r="G172" s="2" t="s">
        <v>250</v>
      </c>
      <c r="H172" t="str">
        <f>_xlfn.XLOOKUP(Vet_Visits[[#This Row],[Charge_Code]],Charge_Reference!A:A,Charge_Reference!B:B)</f>
        <v>Emergency Visit</v>
      </c>
      <c r="I172" t="s">
        <v>36</v>
      </c>
      <c r="J172" s="3">
        <v>-152.84360000000001</v>
      </c>
      <c r="K172" t="s">
        <v>7</v>
      </c>
    </row>
    <row r="173" spans="1:11" x14ac:dyDescent="0.3">
      <c r="A173" s="4">
        <v>172</v>
      </c>
      <c r="B173" s="4">
        <v>134</v>
      </c>
      <c r="C173" s="4">
        <v>101</v>
      </c>
      <c r="D173" s="1" t="s">
        <v>101</v>
      </c>
      <c r="E173" s="1" t="s">
        <v>29</v>
      </c>
      <c r="F173" s="1" t="s">
        <v>82</v>
      </c>
      <c r="G173" s="2" t="s">
        <v>251</v>
      </c>
      <c r="H173" t="str">
        <f>_xlfn.XLOOKUP(Vet_Visits[[#This Row],[Charge_Code]],Charge_Reference!A:A,Charge_Reference!B:B)</f>
        <v>Annual Bloodwork</v>
      </c>
      <c r="I173" t="s">
        <v>40</v>
      </c>
      <c r="J173" s="3">
        <v>925.41030000000001</v>
      </c>
      <c r="K173" t="s">
        <v>7</v>
      </c>
    </row>
    <row r="174" spans="1:11" x14ac:dyDescent="0.3">
      <c r="A174" s="4">
        <v>173</v>
      </c>
      <c r="B174" s="4">
        <v>139</v>
      </c>
      <c r="C174" s="4">
        <v>125</v>
      </c>
      <c r="D174" s="1" t="s">
        <v>142</v>
      </c>
      <c r="E174" s="1" t="s">
        <v>29</v>
      </c>
      <c r="F174" s="1" t="s">
        <v>97</v>
      </c>
      <c r="G174" s="2" t="s">
        <v>252</v>
      </c>
      <c r="H174" t="str">
        <f>_xlfn.XLOOKUP(Vet_Visits[[#This Row],[Charge_Code]],Charge_Reference!A:A,Charge_Reference!B:B)</f>
        <v>Surgery</v>
      </c>
      <c r="I174" t="s">
        <v>32</v>
      </c>
      <c r="J174" s="3">
        <v>124.3339</v>
      </c>
      <c r="K174" t="s">
        <v>5</v>
      </c>
    </row>
    <row r="175" spans="1:11" x14ac:dyDescent="0.3">
      <c r="A175" s="4">
        <v>174</v>
      </c>
      <c r="B175" s="4">
        <v>166</v>
      </c>
      <c r="C175" s="4">
        <v>25</v>
      </c>
      <c r="D175" s="1" t="s">
        <v>154</v>
      </c>
      <c r="E175" s="1" t="s">
        <v>29</v>
      </c>
      <c r="F175" s="1" t="s">
        <v>38</v>
      </c>
      <c r="G175" s="2" t="s">
        <v>253</v>
      </c>
      <c r="H175" t="str">
        <f>_xlfn.XLOOKUP(Vet_Visits[[#This Row],[Charge_Code]],Charge_Reference!A:A,Charge_Reference!B:B)</f>
        <v>Annual Bloodwork</v>
      </c>
      <c r="I175" t="s">
        <v>40</v>
      </c>
      <c r="J175" s="3">
        <v>392.92079999999999</v>
      </c>
      <c r="K175" t="s">
        <v>3</v>
      </c>
    </row>
    <row r="176" spans="1:11" x14ac:dyDescent="0.3">
      <c r="A176" s="4">
        <v>175</v>
      </c>
      <c r="B176" s="4">
        <v>74</v>
      </c>
      <c r="C176" s="4">
        <v>68</v>
      </c>
      <c r="D176" s="1" t="s">
        <v>81</v>
      </c>
      <c r="E176" s="1" t="s">
        <v>29</v>
      </c>
      <c r="F176" s="1" t="s">
        <v>102</v>
      </c>
      <c r="G176" s="2" t="s">
        <v>254</v>
      </c>
      <c r="H176" t="str">
        <f>_xlfn.XLOOKUP(Vet_Visits[[#This Row],[Charge_Code]],Charge_Reference!A:A,Charge_Reference!B:B)</f>
        <v>Emergency Visit</v>
      </c>
      <c r="I176" t="s">
        <v>36</v>
      </c>
      <c r="J176" s="3">
        <v>611.38149999999996</v>
      </c>
      <c r="K176" t="s">
        <v>3</v>
      </c>
    </row>
    <row r="177" spans="1:11" x14ac:dyDescent="0.3">
      <c r="A177" s="4">
        <v>176</v>
      </c>
      <c r="B177" s="4">
        <v>167</v>
      </c>
      <c r="C177" s="4">
        <v>54</v>
      </c>
      <c r="D177" s="1" t="s">
        <v>120</v>
      </c>
      <c r="E177" s="1" t="s">
        <v>41</v>
      </c>
      <c r="F177" s="1" t="s">
        <v>97</v>
      </c>
      <c r="G177" s="2" t="s">
        <v>255</v>
      </c>
      <c r="H177" t="str">
        <f>_xlfn.XLOOKUP(Vet_Visits[[#This Row],[Charge_Code]],Charge_Reference!A:A,Charge_Reference!B:B)</f>
        <v>Radiographs</v>
      </c>
      <c r="I177" t="s">
        <v>51</v>
      </c>
      <c r="J177" s="3">
        <v>-114.69</v>
      </c>
      <c r="K177" t="s">
        <v>3</v>
      </c>
    </row>
    <row r="178" spans="1:11" x14ac:dyDescent="0.3">
      <c r="A178" s="4">
        <v>177</v>
      </c>
      <c r="B178" s="4">
        <v>36</v>
      </c>
      <c r="C178" s="4">
        <v>49</v>
      </c>
      <c r="D178" s="1" t="s">
        <v>120</v>
      </c>
      <c r="E178" s="1" t="s">
        <v>41</v>
      </c>
      <c r="F178" s="1" t="s">
        <v>71</v>
      </c>
      <c r="G178" s="2" t="s">
        <v>256</v>
      </c>
      <c r="H178" t="str">
        <f>_xlfn.XLOOKUP(Vet_Visits[[#This Row],[Charge_Code]],Charge_Reference!A:A,Charge_Reference!B:B)</f>
        <v>Nail Trim</v>
      </c>
      <c r="I178" t="s">
        <v>64</v>
      </c>
      <c r="J178" s="3">
        <v>877.64509999999996</v>
      </c>
      <c r="K178" t="s">
        <v>3</v>
      </c>
    </row>
    <row r="179" spans="1:11" x14ac:dyDescent="0.3">
      <c r="A179" s="4">
        <v>178</v>
      </c>
      <c r="B179" s="4">
        <v>23</v>
      </c>
      <c r="C179" s="4">
        <v>136</v>
      </c>
      <c r="D179" s="1" t="s">
        <v>128</v>
      </c>
      <c r="E179" s="1" t="s">
        <v>29</v>
      </c>
      <c r="F179" s="1" t="s">
        <v>116</v>
      </c>
      <c r="G179" s="2" t="s">
        <v>169</v>
      </c>
      <c r="H179" t="str">
        <f>_xlfn.XLOOKUP(Vet_Visits[[#This Row],[Charge_Code]],Charge_Reference!A:A,Charge_Reference!B:B)</f>
        <v>Annual Bloodwork</v>
      </c>
      <c r="I179" t="s">
        <v>40</v>
      </c>
      <c r="J179" s="3">
        <v>972.06610000000001</v>
      </c>
      <c r="K179" t="s">
        <v>3</v>
      </c>
    </row>
    <row r="180" spans="1:11" x14ac:dyDescent="0.3">
      <c r="A180" s="4">
        <v>179</v>
      </c>
      <c r="B180" s="4">
        <v>100</v>
      </c>
      <c r="C180" s="4">
        <v>112</v>
      </c>
      <c r="D180" s="1" t="s">
        <v>191</v>
      </c>
      <c r="E180" s="1" t="s">
        <v>41</v>
      </c>
      <c r="F180" s="1" t="s">
        <v>107</v>
      </c>
      <c r="G180" s="2" t="s">
        <v>246</v>
      </c>
      <c r="H180" t="str">
        <f>_xlfn.XLOOKUP(Vet_Visits[[#This Row],[Charge_Code]],Charge_Reference!A:A,Charge_Reference!B:B)</f>
        <v>Vaccination</v>
      </c>
      <c r="I180" t="s">
        <v>55</v>
      </c>
      <c r="J180" s="3">
        <v>-54.795099999999998</v>
      </c>
      <c r="K180" t="s">
        <v>7</v>
      </c>
    </row>
    <row r="181" spans="1:11" x14ac:dyDescent="0.3">
      <c r="A181" s="4">
        <v>180</v>
      </c>
      <c r="B181" s="4">
        <v>58</v>
      </c>
      <c r="C181" s="4">
        <v>144</v>
      </c>
      <c r="D181" s="1" t="s">
        <v>84</v>
      </c>
      <c r="E181" s="1" t="s">
        <v>29</v>
      </c>
      <c r="F181" s="1" t="s">
        <v>38</v>
      </c>
      <c r="G181" s="2" t="s">
        <v>257</v>
      </c>
      <c r="H181" t="str">
        <f>_xlfn.XLOOKUP(Vet_Visits[[#This Row],[Charge_Code]],Charge_Reference!A:A,Charge_Reference!B:B)</f>
        <v>Surgery</v>
      </c>
      <c r="I181" t="s">
        <v>32</v>
      </c>
      <c r="J181" s="3">
        <v>157.59950000000001</v>
      </c>
      <c r="K181" t="s">
        <v>3</v>
      </c>
    </row>
    <row r="182" spans="1:11" x14ac:dyDescent="0.3">
      <c r="A182" s="4">
        <v>181</v>
      </c>
      <c r="B182" s="4">
        <v>91</v>
      </c>
      <c r="C182" s="4">
        <v>22</v>
      </c>
      <c r="D182" s="1" t="s">
        <v>48</v>
      </c>
      <c r="E182" s="1" t="s">
        <v>29</v>
      </c>
      <c r="F182" s="1" t="s">
        <v>49</v>
      </c>
      <c r="G182" s="2" t="s">
        <v>258</v>
      </c>
      <c r="H182" t="str">
        <f>_xlfn.XLOOKUP(Vet_Visits[[#This Row],[Charge_Code]],Charge_Reference!A:A,Charge_Reference!B:B)</f>
        <v>Annual Bloodwork</v>
      </c>
      <c r="I182" t="s">
        <v>40</v>
      </c>
      <c r="J182" s="3">
        <v>731.43449999999996</v>
      </c>
      <c r="K182" t="s">
        <v>7</v>
      </c>
    </row>
    <row r="183" spans="1:11" x14ac:dyDescent="0.3">
      <c r="A183" s="4">
        <v>182</v>
      </c>
      <c r="B183" s="4">
        <v>173</v>
      </c>
      <c r="C183" s="4">
        <v>14</v>
      </c>
      <c r="D183" s="1" t="s">
        <v>142</v>
      </c>
      <c r="E183" s="1" t="s">
        <v>29</v>
      </c>
      <c r="F183" s="1" t="s">
        <v>102</v>
      </c>
      <c r="G183" s="2" t="s">
        <v>259</v>
      </c>
      <c r="H183" t="str">
        <f>_xlfn.XLOOKUP(Vet_Visits[[#This Row],[Charge_Code]],Charge_Reference!A:A,Charge_Reference!B:B)</f>
        <v>Nail Trim</v>
      </c>
      <c r="I183" t="s">
        <v>64</v>
      </c>
      <c r="J183" s="3">
        <v>824.13589999999999</v>
      </c>
      <c r="K183" t="s">
        <v>5</v>
      </c>
    </row>
    <row r="184" spans="1:11" x14ac:dyDescent="0.3">
      <c r="A184" s="4">
        <v>183</v>
      </c>
      <c r="B184" s="4">
        <v>6</v>
      </c>
      <c r="C184" s="4">
        <v>9</v>
      </c>
      <c r="D184" s="1" t="s">
        <v>220</v>
      </c>
      <c r="E184" s="1" t="s">
        <v>41</v>
      </c>
      <c r="F184" s="1" t="s">
        <v>116</v>
      </c>
      <c r="G184" s="2" t="s">
        <v>260</v>
      </c>
      <c r="H184" t="str">
        <f>_xlfn.XLOOKUP(Vet_Visits[[#This Row],[Charge_Code]],Charge_Reference!A:A,Charge_Reference!B:B)</f>
        <v>Vaccination</v>
      </c>
      <c r="I184" t="s">
        <v>55</v>
      </c>
      <c r="J184" s="3">
        <v>-111.2376</v>
      </c>
      <c r="K184" t="s">
        <v>5</v>
      </c>
    </row>
    <row r="185" spans="1:11" x14ac:dyDescent="0.3">
      <c r="A185" s="4">
        <v>184</v>
      </c>
      <c r="B185" s="4">
        <v>199</v>
      </c>
      <c r="C185" s="4">
        <v>16</v>
      </c>
      <c r="D185" s="1" t="s">
        <v>68</v>
      </c>
      <c r="E185" s="1" t="s">
        <v>41</v>
      </c>
      <c r="F185" s="1" t="s">
        <v>151</v>
      </c>
      <c r="G185" s="2" t="s">
        <v>110</v>
      </c>
      <c r="H185" t="str">
        <f>_xlfn.XLOOKUP(Vet_Visits[[#This Row],[Charge_Code]],Charge_Reference!A:A,Charge_Reference!B:B)</f>
        <v>Nail Trim</v>
      </c>
      <c r="I185" t="s">
        <v>64</v>
      </c>
      <c r="J185" s="3">
        <v>-130.70259999999999</v>
      </c>
      <c r="K185" t="s">
        <v>5</v>
      </c>
    </row>
    <row r="186" spans="1:11" x14ac:dyDescent="0.3">
      <c r="A186" s="4">
        <v>185</v>
      </c>
      <c r="B186" s="4">
        <v>105</v>
      </c>
      <c r="C186" s="4">
        <v>8</v>
      </c>
      <c r="D186" s="1" t="s">
        <v>220</v>
      </c>
      <c r="E186" s="1" t="s">
        <v>29</v>
      </c>
      <c r="F186" s="1" t="s">
        <v>71</v>
      </c>
      <c r="G186" s="2" t="s">
        <v>261</v>
      </c>
      <c r="H186" t="str">
        <f>_xlfn.XLOOKUP(Vet_Visits[[#This Row],[Charge_Code]],Charge_Reference!A:A,Charge_Reference!B:B)</f>
        <v>Nail Trim</v>
      </c>
      <c r="I186" t="s">
        <v>64</v>
      </c>
      <c r="J186" s="3">
        <v>591.48030000000006</v>
      </c>
      <c r="K186" t="s">
        <v>7</v>
      </c>
    </row>
    <row r="187" spans="1:11" x14ac:dyDescent="0.3">
      <c r="A187" s="4">
        <v>186</v>
      </c>
      <c r="B187" s="4">
        <v>75</v>
      </c>
      <c r="C187" s="4">
        <v>1</v>
      </c>
      <c r="D187" s="1" t="s">
        <v>84</v>
      </c>
      <c r="E187" s="1" t="s">
        <v>41</v>
      </c>
      <c r="F187" s="1" t="s">
        <v>42</v>
      </c>
      <c r="G187" s="2" t="s">
        <v>262</v>
      </c>
      <c r="H187" t="str">
        <f>_xlfn.XLOOKUP(Vet_Visits[[#This Row],[Charge_Code]],Charge_Reference!A:A,Charge_Reference!B:B)</f>
        <v>Office Visit</v>
      </c>
      <c r="I187" t="s">
        <v>59</v>
      </c>
      <c r="J187" s="3">
        <v>969.21100000000001</v>
      </c>
      <c r="K187" t="s">
        <v>5</v>
      </c>
    </row>
    <row r="188" spans="1:11" x14ac:dyDescent="0.3">
      <c r="A188" s="4">
        <v>187</v>
      </c>
      <c r="B188" s="4">
        <v>7</v>
      </c>
      <c r="C188" s="4">
        <v>18</v>
      </c>
      <c r="D188" s="1" t="s">
        <v>220</v>
      </c>
      <c r="E188" s="1" t="s">
        <v>29</v>
      </c>
      <c r="F188" s="1" t="s">
        <v>42</v>
      </c>
      <c r="G188" s="2" t="s">
        <v>263</v>
      </c>
      <c r="H188" t="str">
        <f>_xlfn.XLOOKUP(Vet_Visits[[#This Row],[Charge_Code]],Charge_Reference!A:A,Charge_Reference!B:B)</f>
        <v>Emergency Visit</v>
      </c>
      <c r="I188" t="s">
        <v>36</v>
      </c>
      <c r="J188" s="3">
        <v>315.58300000000003</v>
      </c>
      <c r="K188" t="s">
        <v>5</v>
      </c>
    </row>
    <row r="189" spans="1:11" x14ac:dyDescent="0.3">
      <c r="A189" s="4">
        <v>188</v>
      </c>
      <c r="B189" s="4">
        <v>91</v>
      </c>
      <c r="C189" s="4">
        <v>124</v>
      </c>
      <c r="D189" s="1" t="s">
        <v>78</v>
      </c>
      <c r="E189" s="1" t="s">
        <v>41</v>
      </c>
      <c r="F189" s="1" t="s">
        <v>66</v>
      </c>
      <c r="G189" s="2" t="s">
        <v>202</v>
      </c>
      <c r="H189" t="str">
        <f>_xlfn.XLOOKUP(Vet_Visits[[#This Row],[Charge_Code]],Charge_Reference!A:A,Charge_Reference!B:B)</f>
        <v>Emergency Visit</v>
      </c>
      <c r="I189" t="s">
        <v>36</v>
      </c>
      <c r="J189" s="3">
        <v>279.47129999999999</v>
      </c>
      <c r="K189" t="s">
        <v>3</v>
      </c>
    </row>
    <row r="190" spans="1:11" x14ac:dyDescent="0.3">
      <c r="A190" s="4">
        <v>189</v>
      </c>
      <c r="B190" s="4">
        <v>123</v>
      </c>
      <c r="C190" s="4">
        <v>131</v>
      </c>
      <c r="D190" s="1" t="s">
        <v>217</v>
      </c>
      <c r="E190" s="1" t="s">
        <v>29</v>
      </c>
      <c r="F190" s="1" t="s">
        <v>76</v>
      </c>
      <c r="G190" s="2" t="s">
        <v>213</v>
      </c>
      <c r="H190" t="str">
        <f>_xlfn.XLOOKUP(Vet_Visits[[#This Row],[Charge_Code]],Charge_Reference!A:A,Charge_Reference!B:B)</f>
        <v>Surgery</v>
      </c>
      <c r="I190" t="s">
        <v>32</v>
      </c>
      <c r="J190" s="3">
        <v>885.03340000000003</v>
      </c>
      <c r="K190" t="s">
        <v>5</v>
      </c>
    </row>
    <row r="191" spans="1:11" x14ac:dyDescent="0.3">
      <c r="A191" s="4">
        <v>190</v>
      </c>
      <c r="B191" s="4">
        <v>55</v>
      </c>
      <c r="C191" s="4">
        <v>94</v>
      </c>
      <c r="D191" s="1" t="s">
        <v>91</v>
      </c>
      <c r="E191" s="1" t="s">
        <v>41</v>
      </c>
      <c r="F191" s="1" t="s">
        <v>145</v>
      </c>
      <c r="G191" s="2" t="s">
        <v>264</v>
      </c>
      <c r="H191" t="str">
        <f>_xlfn.XLOOKUP(Vet_Visits[[#This Row],[Charge_Code]],Charge_Reference!A:A,Charge_Reference!B:B)</f>
        <v>Surgery</v>
      </c>
      <c r="I191" t="s">
        <v>32</v>
      </c>
      <c r="J191" s="3">
        <v>-153.58519999999999</v>
      </c>
      <c r="K191" t="s">
        <v>5</v>
      </c>
    </row>
    <row r="192" spans="1:11" x14ac:dyDescent="0.3">
      <c r="A192" s="4">
        <v>191</v>
      </c>
      <c r="B192" s="4">
        <v>123</v>
      </c>
      <c r="C192" s="4">
        <v>131</v>
      </c>
      <c r="D192" s="1" t="s">
        <v>52</v>
      </c>
      <c r="E192" s="1" t="s">
        <v>41</v>
      </c>
      <c r="F192" s="1" t="s">
        <v>49</v>
      </c>
      <c r="G192" s="2" t="s">
        <v>265</v>
      </c>
      <c r="H192" t="str">
        <f>_xlfn.XLOOKUP(Vet_Visits[[#This Row],[Charge_Code]],Charge_Reference!A:A,Charge_Reference!B:B)</f>
        <v>Nail Trim</v>
      </c>
      <c r="I192" t="s">
        <v>64</v>
      </c>
      <c r="J192" s="3">
        <v>153.2954</v>
      </c>
      <c r="K192" t="s">
        <v>5</v>
      </c>
    </row>
    <row r="193" spans="1:11" x14ac:dyDescent="0.3">
      <c r="A193" s="4">
        <v>192</v>
      </c>
      <c r="B193" s="4">
        <v>64</v>
      </c>
      <c r="C193" s="4">
        <v>126</v>
      </c>
      <c r="D193" s="1" t="s">
        <v>185</v>
      </c>
      <c r="E193" s="1" t="s">
        <v>41</v>
      </c>
      <c r="F193" s="1" t="s">
        <v>87</v>
      </c>
      <c r="G193" s="2" t="s">
        <v>215</v>
      </c>
      <c r="H193" t="str">
        <f>_xlfn.XLOOKUP(Vet_Visits[[#This Row],[Charge_Code]],Charge_Reference!A:A,Charge_Reference!B:B)</f>
        <v>Radiographs</v>
      </c>
      <c r="I193" t="s">
        <v>51</v>
      </c>
      <c r="J193" s="3">
        <v>-230.411</v>
      </c>
      <c r="K193" t="s">
        <v>3</v>
      </c>
    </row>
    <row r="194" spans="1:11" x14ac:dyDescent="0.3">
      <c r="A194" s="4">
        <v>193</v>
      </c>
      <c r="B194" s="4">
        <v>167</v>
      </c>
      <c r="C194" s="4">
        <v>82</v>
      </c>
      <c r="D194" s="1" t="s">
        <v>52</v>
      </c>
      <c r="E194" s="1" t="s">
        <v>29</v>
      </c>
      <c r="F194" s="1" t="s">
        <v>111</v>
      </c>
      <c r="G194" s="2" t="s">
        <v>266</v>
      </c>
      <c r="H194" t="str">
        <f>_xlfn.XLOOKUP(Vet_Visits[[#This Row],[Charge_Code]],Charge_Reference!A:A,Charge_Reference!B:B)</f>
        <v>Surgery</v>
      </c>
      <c r="I194" t="s">
        <v>32</v>
      </c>
      <c r="J194" s="3">
        <v>325.53809999999999</v>
      </c>
      <c r="K194" t="s">
        <v>3</v>
      </c>
    </row>
    <row r="195" spans="1:11" x14ac:dyDescent="0.3">
      <c r="A195" s="4">
        <v>194</v>
      </c>
      <c r="B195" s="4">
        <v>13</v>
      </c>
      <c r="C195" s="4">
        <v>75</v>
      </c>
      <c r="D195" s="1" t="s">
        <v>48</v>
      </c>
      <c r="E195" s="1" t="s">
        <v>41</v>
      </c>
      <c r="F195" s="1" t="s">
        <v>85</v>
      </c>
      <c r="G195" s="2" t="s">
        <v>267</v>
      </c>
      <c r="H195" t="str">
        <f>_xlfn.XLOOKUP(Vet_Visits[[#This Row],[Charge_Code]],Charge_Reference!A:A,Charge_Reference!B:B)</f>
        <v>Nail Trim</v>
      </c>
      <c r="I195" t="s">
        <v>64</v>
      </c>
      <c r="J195" s="3">
        <v>984.0616</v>
      </c>
      <c r="K195" t="s">
        <v>3</v>
      </c>
    </row>
    <row r="196" spans="1:11" x14ac:dyDescent="0.3">
      <c r="A196" s="4">
        <v>195</v>
      </c>
      <c r="B196" s="4">
        <v>94</v>
      </c>
      <c r="C196" s="4">
        <v>106</v>
      </c>
      <c r="D196" s="1" t="s">
        <v>93</v>
      </c>
      <c r="E196" s="1" t="s">
        <v>41</v>
      </c>
      <c r="F196" s="1" t="s">
        <v>151</v>
      </c>
      <c r="G196" s="2" t="s">
        <v>223</v>
      </c>
      <c r="H196" t="str">
        <f>_xlfn.XLOOKUP(Vet_Visits[[#This Row],[Charge_Code]],Charge_Reference!A:A,Charge_Reference!B:B)</f>
        <v>Nail Trim</v>
      </c>
      <c r="I196" t="s">
        <v>64</v>
      </c>
      <c r="J196" s="3">
        <v>722.30449999999996</v>
      </c>
      <c r="K196" t="s">
        <v>3</v>
      </c>
    </row>
    <row r="197" spans="1:11" x14ac:dyDescent="0.3">
      <c r="A197" s="4">
        <v>196</v>
      </c>
      <c r="B197" s="4">
        <v>50</v>
      </c>
      <c r="C197" s="4">
        <v>10</v>
      </c>
      <c r="D197" s="1" t="s">
        <v>60</v>
      </c>
      <c r="E197" s="1" t="s">
        <v>29</v>
      </c>
      <c r="F197" s="1" t="s">
        <v>145</v>
      </c>
      <c r="G197" s="2" t="s">
        <v>168</v>
      </c>
      <c r="H197" t="str">
        <f>_xlfn.XLOOKUP(Vet_Visits[[#This Row],[Charge_Code]],Charge_Reference!A:A,Charge_Reference!B:B)</f>
        <v>Annual Bloodwork</v>
      </c>
      <c r="I197" t="s">
        <v>40</v>
      </c>
      <c r="J197" s="3">
        <v>171.8546</v>
      </c>
      <c r="K197" t="s">
        <v>7</v>
      </c>
    </row>
    <row r="198" spans="1:11" x14ac:dyDescent="0.3">
      <c r="A198" s="4">
        <v>197</v>
      </c>
      <c r="B198" s="4">
        <v>13</v>
      </c>
      <c r="C198" s="4">
        <v>51</v>
      </c>
      <c r="D198" s="1" t="s">
        <v>60</v>
      </c>
      <c r="E198" s="1" t="s">
        <v>29</v>
      </c>
      <c r="F198" s="1" t="s">
        <v>71</v>
      </c>
      <c r="G198" s="2" t="s">
        <v>268</v>
      </c>
      <c r="H198" t="str">
        <f>_xlfn.XLOOKUP(Vet_Visits[[#This Row],[Charge_Code]],Charge_Reference!A:A,Charge_Reference!B:B)</f>
        <v>Office Visit</v>
      </c>
      <c r="I198" t="s">
        <v>59</v>
      </c>
      <c r="J198" s="3">
        <v>-174.1713</v>
      </c>
      <c r="K198" t="s">
        <v>7</v>
      </c>
    </row>
    <row r="199" spans="1:11" x14ac:dyDescent="0.3">
      <c r="A199" s="4">
        <v>198</v>
      </c>
      <c r="B199" s="4">
        <v>162</v>
      </c>
      <c r="C199" s="4">
        <v>143</v>
      </c>
      <c r="D199" s="1" t="s">
        <v>142</v>
      </c>
      <c r="E199" s="1" t="s">
        <v>41</v>
      </c>
      <c r="F199" s="1" t="s">
        <v>160</v>
      </c>
      <c r="G199" s="2" t="s">
        <v>100</v>
      </c>
      <c r="H199" t="str">
        <f>_xlfn.XLOOKUP(Vet_Visits[[#This Row],[Charge_Code]],Charge_Reference!A:A,Charge_Reference!B:B)</f>
        <v>Vaccination</v>
      </c>
      <c r="I199" t="s">
        <v>55</v>
      </c>
      <c r="J199" s="3">
        <v>169.9494</v>
      </c>
      <c r="K199" t="s">
        <v>5</v>
      </c>
    </row>
    <row r="200" spans="1:11" x14ac:dyDescent="0.3">
      <c r="A200" s="4">
        <v>199</v>
      </c>
      <c r="B200" s="4">
        <v>115</v>
      </c>
      <c r="C200" s="4">
        <v>114</v>
      </c>
      <c r="D200" s="1" t="s">
        <v>28</v>
      </c>
      <c r="E200" s="1" t="s">
        <v>29</v>
      </c>
      <c r="F200" s="1" t="s">
        <v>104</v>
      </c>
      <c r="G200" s="2" t="s">
        <v>255</v>
      </c>
      <c r="H200" t="str">
        <f>_xlfn.XLOOKUP(Vet_Visits[[#This Row],[Charge_Code]],Charge_Reference!A:A,Charge_Reference!B:B)</f>
        <v>Annual Bloodwork</v>
      </c>
      <c r="I200" t="s">
        <v>40</v>
      </c>
      <c r="J200" s="3">
        <v>-243.72909999999999</v>
      </c>
      <c r="K200" t="s">
        <v>5</v>
      </c>
    </row>
    <row r="201" spans="1:11" x14ac:dyDescent="0.3">
      <c r="A201" s="4">
        <v>200</v>
      </c>
      <c r="B201" s="4">
        <v>1</v>
      </c>
      <c r="C201" s="4">
        <v>99</v>
      </c>
      <c r="D201" s="1" t="s">
        <v>33</v>
      </c>
      <c r="E201" s="1" t="s">
        <v>29</v>
      </c>
      <c r="F201" s="1" t="s">
        <v>85</v>
      </c>
      <c r="G201" s="2" t="s">
        <v>269</v>
      </c>
      <c r="H201" t="str">
        <f>_xlfn.XLOOKUP(Vet_Visits[[#This Row],[Charge_Code]],Charge_Reference!A:A,Charge_Reference!B:B)</f>
        <v>Office Visit</v>
      </c>
      <c r="I201" t="s">
        <v>59</v>
      </c>
      <c r="J201" s="3">
        <v>-255.8347</v>
      </c>
      <c r="K201" t="s">
        <v>5</v>
      </c>
    </row>
    <row r="202" spans="1:11" x14ac:dyDescent="0.3">
      <c r="A202" s="4">
        <v>201</v>
      </c>
      <c r="B202" s="4">
        <v>89</v>
      </c>
      <c r="C202" s="4">
        <v>76</v>
      </c>
      <c r="D202" s="1" t="s">
        <v>142</v>
      </c>
      <c r="E202" s="1" t="s">
        <v>29</v>
      </c>
      <c r="F202" s="1" t="s">
        <v>53</v>
      </c>
      <c r="G202" s="2" t="s">
        <v>270</v>
      </c>
      <c r="H202" t="str">
        <f>_xlfn.XLOOKUP(Vet_Visits[[#This Row],[Charge_Code]],Charge_Reference!A:A,Charge_Reference!B:B)</f>
        <v>Surgery</v>
      </c>
      <c r="I202" t="s">
        <v>32</v>
      </c>
      <c r="J202" s="3">
        <v>384.59699999999998</v>
      </c>
      <c r="K202" t="s">
        <v>3</v>
      </c>
    </row>
    <row r="203" spans="1:11" x14ac:dyDescent="0.3">
      <c r="A203" s="4">
        <v>202</v>
      </c>
      <c r="B203" s="4">
        <v>76</v>
      </c>
      <c r="C203" s="4">
        <v>115</v>
      </c>
      <c r="D203" s="1" t="s">
        <v>130</v>
      </c>
      <c r="E203" s="1" t="s">
        <v>41</v>
      </c>
      <c r="F203" s="1" t="s">
        <v>42</v>
      </c>
      <c r="G203" s="2" t="s">
        <v>271</v>
      </c>
      <c r="H203" t="str">
        <f>_xlfn.XLOOKUP(Vet_Visits[[#This Row],[Charge_Code]],Charge_Reference!A:A,Charge_Reference!B:B)</f>
        <v>Emergency Visit</v>
      </c>
      <c r="I203" t="s">
        <v>36</v>
      </c>
      <c r="J203" s="3">
        <v>542.28710000000001</v>
      </c>
      <c r="K203" t="s">
        <v>3</v>
      </c>
    </row>
    <row r="204" spans="1:11" x14ac:dyDescent="0.3">
      <c r="A204" s="4">
        <v>203</v>
      </c>
      <c r="B204" s="4">
        <v>112</v>
      </c>
      <c r="C204" s="4">
        <v>39</v>
      </c>
      <c r="D204" s="1" t="s">
        <v>149</v>
      </c>
      <c r="E204" s="1" t="s">
        <v>41</v>
      </c>
      <c r="F204" s="1" t="s">
        <v>87</v>
      </c>
      <c r="G204" s="2" t="s">
        <v>123</v>
      </c>
      <c r="H204" t="str">
        <f>_xlfn.XLOOKUP(Vet_Visits[[#This Row],[Charge_Code]],Charge_Reference!A:A,Charge_Reference!B:B)</f>
        <v>Radiographs</v>
      </c>
      <c r="I204" t="s">
        <v>51</v>
      </c>
      <c r="J204" s="3">
        <v>-253.0188</v>
      </c>
      <c r="K204" t="s">
        <v>5</v>
      </c>
    </row>
    <row r="205" spans="1:11" x14ac:dyDescent="0.3">
      <c r="A205" s="4">
        <v>204</v>
      </c>
      <c r="B205" s="4">
        <v>173</v>
      </c>
      <c r="C205" s="4">
        <v>89</v>
      </c>
      <c r="D205" s="1" t="s">
        <v>214</v>
      </c>
      <c r="E205" s="1" t="s">
        <v>41</v>
      </c>
      <c r="F205" s="1" t="s">
        <v>116</v>
      </c>
      <c r="G205" s="2" t="s">
        <v>272</v>
      </c>
      <c r="H205" t="str">
        <f>_xlfn.XLOOKUP(Vet_Visits[[#This Row],[Charge_Code]],Charge_Reference!A:A,Charge_Reference!B:B)</f>
        <v>Office Visit</v>
      </c>
      <c r="I205" t="s">
        <v>59</v>
      </c>
      <c r="J205" s="3">
        <v>334.7047</v>
      </c>
      <c r="K205" t="s">
        <v>3</v>
      </c>
    </row>
    <row r="206" spans="1:11" x14ac:dyDescent="0.3">
      <c r="A206" s="4">
        <v>205</v>
      </c>
      <c r="B206" s="4">
        <v>18</v>
      </c>
      <c r="C206" s="4">
        <v>2</v>
      </c>
      <c r="D206" s="1" t="s">
        <v>158</v>
      </c>
      <c r="E206" s="1" t="s">
        <v>29</v>
      </c>
      <c r="F206" s="1" t="s">
        <v>30</v>
      </c>
      <c r="G206" s="2" t="s">
        <v>273</v>
      </c>
      <c r="H206" t="str">
        <f>_xlfn.XLOOKUP(Vet_Visits[[#This Row],[Charge_Code]],Charge_Reference!A:A,Charge_Reference!B:B)</f>
        <v>Nail Trim</v>
      </c>
      <c r="I206" t="s">
        <v>64</v>
      </c>
      <c r="J206" s="3">
        <v>-167.03630000000001</v>
      </c>
      <c r="K206" t="s">
        <v>3</v>
      </c>
    </row>
    <row r="207" spans="1:11" x14ac:dyDescent="0.3">
      <c r="A207" s="4">
        <v>206</v>
      </c>
      <c r="B207" s="4">
        <v>199</v>
      </c>
      <c r="C207" s="4">
        <v>8</v>
      </c>
      <c r="D207" s="1" t="s">
        <v>44</v>
      </c>
      <c r="E207" s="1" t="s">
        <v>29</v>
      </c>
      <c r="F207" s="1" t="s">
        <v>53</v>
      </c>
      <c r="G207" s="2" t="s">
        <v>129</v>
      </c>
      <c r="H207" t="str">
        <f>_xlfn.XLOOKUP(Vet_Visits[[#This Row],[Charge_Code]],Charge_Reference!A:A,Charge_Reference!B:B)</f>
        <v>Dental Cleaning</v>
      </c>
      <c r="I207" t="s">
        <v>47</v>
      </c>
      <c r="J207" s="3">
        <v>61.729500000000002</v>
      </c>
      <c r="K207" t="s">
        <v>7</v>
      </c>
    </row>
    <row r="208" spans="1:11" x14ac:dyDescent="0.3">
      <c r="A208" s="4">
        <v>207</v>
      </c>
      <c r="B208" s="4">
        <v>112</v>
      </c>
      <c r="C208" s="4">
        <v>139</v>
      </c>
      <c r="D208" s="1" t="s">
        <v>37</v>
      </c>
      <c r="E208" s="1" t="s">
        <v>29</v>
      </c>
      <c r="F208" s="1" t="s">
        <v>66</v>
      </c>
      <c r="G208" s="2" t="s">
        <v>274</v>
      </c>
      <c r="H208" t="str">
        <f>_xlfn.XLOOKUP(Vet_Visits[[#This Row],[Charge_Code]],Charge_Reference!A:A,Charge_Reference!B:B)</f>
        <v>Vaccination</v>
      </c>
      <c r="I208" t="s">
        <v>55</v>
      </c>
      <c r="J208" s="3">
        <v>971.60230000000001</v>
      </c>
      <c r="K208" t="s">
        <v>5</v>
      </c>
    </row>
    <row r="209" spans="1:11" x14ac:dyDescent="0.3">
      <c r="A209" s="4">
        <v>208</v>
      </c>
      <c r="B209" s="4">
        <v>39</v>
      </c>
      <c r="C209" s="4">
        <v>3</v>
      </c>
      <c r="D209" s="1" t="s">
        <v>217</v>
      </c>
      <c r="E209" s="1" t="s">
        <v>41</v>
      </c>
      <c r="F209" s="1" t="s">
        <v>71</v>
      </c>
      <c r="G209" s="2" t="s">
        <v>275</v>
      </c>
      <c r="H209" t="str">
        <f>_xlfn.XLOOKUP(Vet_Visits[[#This Row],[Charge_Code]],Charge_Reference!A:A,Charge_Reference!B:B)</f>
        <v>Nail Trim</v>
      </c>
      <c r="I209" t="s">
        <v>64</v>
      </c>
      <c r="J209" s="3">
        <v>302.50189999999998</v>
      </c>
      <c r="K209" t="s">
        <v>5</v>
      </c>
    </row>
    <row r="210" spans="1:11" x14ac:dyDescent="0.3">
      <c r="A210" s="4">
        <v>209</v>
      </c>
      <c r="B210" s="4">
        <v>176</v>
      </c>
      <c r="C210" s="4">
        <v>68</v>
      </c>
      <c r="D210" s="1" t="s">
        <v>52</v>
      </c>
      <c r="E210" s="1" t="s">
        <v>29</v>
      </c>
      <c r="F210" s="1" t="s">
        <v>145</v>
      </c>
      <c r="G210" s="2" t="s">
        <v>276</v>
      </c>
      <c r="H210" t="str">
        <f>_xlfn.XLOOKUP(Vet_Visits[[#This Row],[Charge_Code]],Charge_Reference!A:A,Charge_Reference!B:B)</f>
        <v>Office Visit</v>
      </c>
      <c r="I210" t="s">
        <v>59</v>
      </c>
      <c r="J210" s="3">
        <v>108.2809</v>
      </c>
      <c r="K210" t="s">
        <v>3</v>
      </c>
    </row>
    <row r="211" spans="1:11" x14ac:dyDescent="0.3">
      <c r="A211" s="4">
        <v>210</v>
      </c>
      <c r="B211" s="4">
        <v>179</v>
      </c>
      <c r="C211" s="4">
        <v>99</v>
      </c>
      <c r="D211" s="1" t="s">
        <v>113</v>
      </c>
      <c r="E211" s="1" t="s">
        <v>41</v>
      </c>
      <c r="F211" s="1" t="s">
        <v>171</v>
      </c>
      <c r="G211" s="2" t="s">
        <v>277</v>
      </c>
      <c r="H211" t="str">
        <f>_xlfn.XLOOKUP(Vet_Visits[[#This Row],[Charge_Code]],Charge_Reference!A:A,Charge_Reference!B:B)</f>
        <v>Surgery</v>
      </c>
      <c r="I211" t="s">
        <v>32</v>
      </c>
      <c r="J211" s="3">
        <v>836.74210000000005</v>
      </c>
      <c r="K211" t="s">
        <v>5</v>
      </c>
    </row>
    <row r="212" spans="1:11" x14ac:dyDescent="0.3">
      <c r="A212" s="4">
        <v>211</v>
      </c>
      <c r="B212" s="4">
        <v>88</v>
      </c>
      <c r="C212" s="4">
        <v>124</v>
      </c>
      <c r="D212" s="1" t="s">
        <v>78</v>
      </c>
      <c r="E212" s="1" t="s">
        <v>29</v>
      </c>
      <c r="F212" s="1" t="s">
        <v>151</v>
      </c>
      <c r="G212" s="2" t="s">
        <v>278</v>
      </c>
      <c r="H212" t="str">
        <f>_xlfn.XLOOKUP(Vet_Visits[[#This Row],[Charge_Code]],Charge_Reference!A:A,Charge_Reference!B:B)</f>
        <v>Emergency Visit</v>
      </c>
      <c r="I212" t="s">
        <v>36</v>
      </c>
      <c r="J212" s="3">
        <v>790.63319999999999</v>
      </c>
      <c r="K212" t="s">
        <v>5</v>
      </c>
    </row>
    <row r="213" spans="1:11" x14ac:dyDescent="0.3">
      <c r="A213" s="4">
        <v>212</v>
      </c>
      <c r="B213" s="4">
        <v>124</v>
      </c>
      <c r="C213" s="4">
        <v>98</v>
      </c>
      <c r="D213" s="1" t="s">
        <v>81</v>
      </c>
      <c r="E213" s="1" t="s">
        <v>29</v>
      </c>
      <c r="F213" s="1" t="s">
        <v>104</v>
      </c>
      <c r="G213" s="2" t="s">
        <v>177</v>
      </c>
      <c r="H213" t="str">
        <f>_xlfn.XLOOKUP(Vet_Visits[[#This Row],[Charge_Code]],Charge_Reference!A:A,Charge_Reference!B:B)</f>
        <v>Nail Trim</v>
      </c>
      <c r="I213" t="s">
        <v>64</v>
      </c>
      <c r="J213" s="3">
        <v>-105.5304</v>
      </c>
      <c r="K213" t="s">
        <v>5</v>
      </c>
    </row>
    <row r="214" spans="1:11" x14ac:dyDescent="0.3">
      <c r="A214" s="4">
        <v>213</v>
      </c>
      <c r="B214" s="4">
        <v>68</v>
      </c>
      <c r="C214" s="4">
        <v>24</v>
      </c>
      <c r="D214" s="1" t="s">
        <v>89</v>
      </c>
      <c r="E214" s="1" t="s">
        <v>41</v>
      </c>
      <c r="F214" s="1" t="s">
        <v>38</v>
      </c>
      <c r="G214" s="2" t="s">
        <v>279</v>
      </c>
      <c r="H214" t="str">
        <f>_xlfn.XLOOKUP(Vet_Visits[[#This Row],[Charge_Code]],Charge_Reference!A:A,Charge_Reference!B:B)</f>
        <v>Annual Bloodwork</v>
      </c>
      <c r="I214" t="s">
        <v>40</v>
      </c>
      <c r="J214" s="3">
        <v>23.4892</v>
      </c>
      <c r="K214" t="s">
        <v>3</v>
      </c>
    </row>
    <row r="215" spans="1:11" x14ac:dyDescent="0.3">
      <c r="A215" s="4">
        <v>214</v>
      </c>
      <c r="B215" s="4">
        <v>163</v>
      </c>
      <c r="C215" s="4">
        <v>132</v>
      </c>
      <c r="D215" s="1" t="s">
        <v>142</v>
      </c>
      <c r="E215" s="1" t="s">
        <v>29</v>
      </c>
      <c r="F215" s="1" t="s">
        <v>171</v>
      </c>
      <c r="G215" s="2" t="s">
        <v>280</v>
      </c>
      <c r="H215" t="str">
        <f>_xlfn.XLOOKUP(Vet_Visits[[#This Row],[Charge_Code]],Charge_Reference!A:A,Charge_Reference!B:B)</f>
        <v>Emergency Visit</v>
      </c>
      <c r="I215" t="s">
        <v>36</v>
      </c>
      <c r="J215" s="3">
        <v>-9.1983999999999995</v>
      </c>
      <c r="K215" t="s">
        <v>3</v>
      </c>
    </row>
    <row r="216" spans="1:11" x14ac:dyDescent="0.3">
      <c r="A216" s="4">
        <v>215</v>
      </c>
      <c r="B216" s="4">
        <v>4</v>
      </c>
      <c r="C216" s="4">
        <v>150</v>
      </c>
      <c r="D216" s="1" t="s">
        <v>81</v>
      </c>
      <c r="E216" s="1" t="s">
        <v>41</v>
      </c>
      <c r="F216" s="1" t="s">
        <v>73</v>
      </c>
      <c r="G216" s="2" t="s">
        <v>281</v>
      </c>
      <c r="H216" t="str">
        <f>_xlfn.XLOOKUP(Vet_Visits[[#This Row],[Charge_Code]],Charge_Reference!A:A,Charge_Reference!B:B)</f>
        <v>Annual Bloodwork</v>
      </c>
      <c r="I216" t="s">
        <v>40</v>
      </c>
      <c r="J216" s="3">
        <v>-157.8407</v>
      </c>
      <c r="K216" t="s">
        <v>5</v>
      </c>
    </row>
    <row r="217" spans="1:11" x14ac:dyDescent="0.3">
      <c r="A217" s="4">
        <v>216</v>
      </c>
      <c r="B217" s="4">
        <v>155</v>
      </c>
      <c r="C217" s="4">
        <v>15</v>
      </c>
      <c r="D217" s="1" t="s">
        <v>194</v>
      </c>
      <c r="E217" s="1" t="s">
        <v>29</v>
      </c>
      <c r="F217" s="1" t="s">
        <v>135</v>
      </c>
      <c r="G217" s="2" t="s">
        <v>39</v>
      </c>
      <c r="H217" t="str">
        <f>_xlfn.XLOOKUP(Vet_Visits[[#This Row],[Charge_Code]],Charge_Reference!A:A,Charge_Reference!B:B)</f>
        <v>Emergency Visit</v>
      </c>
      <c r="I217" t="s">
        <v>36</v>
      </c>
      <c r="J217" s="3">
        <v>91.898099999999999</v>
      </c>
      <c r="K217" t="s">
        <v>5</v>
      </c>
    </row>
    <row r="218" spans="1:11" x14ac:dyDescent="0.3">
      <c r="A218" s="4">
        <v>217</v>
      </c>
      <c r="B218" s="4">
        <v>48</v>
      </c>
      <c r="C218" s="4">
        <v>92</v>
      </c>
      <c r="D218" s="1" t="s">
        <v>162</v>
      </c>
      <c r="E218" s="1" t="s">
        <v>29</v>
      </c>
      <c r="F218" s="1" t="s">
        <v>145</v>
      </c>
      <c r="G218" s="2" t="s">
        <v>225</v>
      </c>
      <c r="H218" t="str">
        <f>_xlfn.XLOOKUP(Vet_Visits[[#This Row],[Charge_Code]],Charge_Reference!A:A,Charge_Reference!B:B)</f>
        <v>Radiographs</v>
      </c>
      <c r="I218" t="s">
        <v>51</v>
      </c>
      <c r="J218" s="3">
        <v>526.75620000000004</v>
      </c>
      <c r="K218" t="s">
        <v>5</v>
      </c>
    </row>
    <row r="219" spans="1:11" x14ac:dyDescent="0.3">
      <c r="A219" s="4">
        <v>218</v>
      </c>
      <c r="B219" s="4">
        <v>27</v>
      </c>
      <c r="C219" s="4">
        <v>83</v>
      </c>
      <c r="D219" s="1" t="s">
        <v>158</v>
      </c>
      <c r="E219" s="1" t="s">
        <v>29</v>
      </c>
      <c r="F219" s="1" t="s">
        <v>82</v>
      </c>
      <c r="G219" s="2" t="s">
        <v>282</v>
      </c>
      <c r="H219" t="str">
        <f>_xlfn.XLOOKUP(Vet_Visits[[#This Row],[Charge_Code]],Charge_Reference!A:A,Charge_Reference!B:B)</f>
        <v>Vaccination</v>
      </c>
      <c r="I219" t="s">
        <v>55</v>
      </c>
      <c r="J219" s="3">
        <v>548.65170000000001</v>
      </c>
      <c r="K219" t="s">
        <v>5</v>
      </c>
    </row>
    <row r="220" spans="1:11" x14ac:dyDescent="0.3">
      <c r="A220" s="4">
        <v>219</v>
      </c>
      <c r="B220" s="4">
        <v>14</v>
      </c>
      <c r="C220" s="4">
        <v>80</v>
      </c>
      <c r="D220" s="1" t="s">
        <v>70</v>
      </c>
      <c r="E220" s="1" t="s">
        <v>41</v>
      </c>
      <c r="F220" s="1" t="s">
        <v>104</v>
      </c>
      <c r="G220" s="2" t="s">
        <v>283</v>
      </c>
      <c r="H220" t="str">
        <f>_xlfn.XLOOKUP(Vet_Visits[[#This Row],[Charge_Code]],Charge_Reference!A:A,Charge_Reference!B:B)</f>
        <v>Office Visit</v>
      </c>
      <c r="I220" t="s">
        <v>59</v>
      </c>
      <c r="J220" s="3">
        <v>588.49030000000005</v>
      </c>
      <c r="K220" t="s">
        <v>5</v>
      </c>
    </row>
    <row r="221" spans="1:11" x14ac:dyDescent="0.3">
      <c r="A221" s="4">
        <v>220</v>
      </c>
      <c r="B221" s="4">
        <v>171</v>
      </c>
      <c r="C221" s="4">
        <v>66</v>
      </c>
      <c r="D221" s="1" t="s">
        <v>230</v>
      </c>
      <c r="E221" s="1" t="s">
        <v>29</v>
      </c>
      <c r="F221" s="1" t="s">
        <v>151</v>
      </c>
      <c r="G221" s="2" t="s">
        <v>284</v>
      </c>
      <c r="H221" t="str">
        <f>_xlfn.XLOOKUP(Vet_Visits[[#This Row],[Charge_Code]],Charge_Reference!A:A,Charge_Reference!B:B)</f>
        <v>Annual Bloodwork</v>
      </c>
      <c r="I221" t="s">
        <v>40</v>
      </c>
      <c r="J221" s="3">
        <v>378.3211</v>
      </c>
      <c r="K221" t="s">
        <v>7</v>
      </c>
    </row>
    <row r="222" spans="1:11" x14ac:dyDescent="0.3">
      <c r="A222" s="4">
        <v>221</v>
      </c>
      <c r="B222" s="4">
        <v>158</v>
      </c>
      <c r="C222" s="4">
        <v>83</v>
      </c>
      <c r="D222" s="1" t="s">
        <v>99</v>
      </c>
      <c r="E222" s="1" t="s">
        <v>29</v>
      </c>
      <c r="F222" s="1" t="s">
        <v>104</v>
      </c>
      <c r="G222" s="2" t="s">
        <v>206</v>
      </c>
      <c r="H222" t="str">
        <f>_xlfn.XLOOKUP(Vet_Visits[[#This Row],[Charge_Code]],Charge_Reference!A:A,Charge_Reference!B:B)</f>
        <v>Surgery</v>
      </c>
      <c r="I222" t="s">
        <v>32</v>
      </c>
      <c r="J222" s="3">
        <v>314.40159999999997</v>
      </c>
      <c r="K222" t="s">
        <v>5</v>
      </c>
    </row>
    <row r="223" spans="1:11" x14ac:dyDescent="0.3">
      <c r="A223" s="4">
        <v>222</v>
      </c>
      <c r="B223" s="4">
        <v>150</v>
      </c>
      <c r="C223" s="4">
        <v>128</v>
      </c>
      <c r="D223" s="1" t="s">
        <v>91</v>
      </c>
      <c r="E223" s="1" t="s">
        <v>29</v>
      </c>
      <c r="F223" s="1" t="s">
        <v>57</v>
      </c>
      <c r="G223" s="2" t="s">
        <v>285</v>
      </c>
      <c r="H223" t="str">
        <f>_xlfn.XLOOKUP(Vet_Visits[[#This Row],[Charge_Code]],Charge_Reference!A:A,Charge_Reference!B:B)</f>
        <v>Radiographs</v>
      </c>
      <c r="I223" t="s">
        <v>51</v>
      </c>
      <c r="J223" s="3">
        <v>626.16200000000003</v>
      </c>
      <c r="K223" t="s">
        <v>7</v>
      </c>
    </row>
    <row r="224" spans="1:11" x14ac:dyDescent="0.3">
      <c r="A224" s="4">
        <v>223</v>
      </c>
      <c r="B224" s="4">
        <v>112</v>
      </c>
      <c r="C224" s="4">
        <v>135</v>
      </c>
      <c r="D224" s="1" t="s">
        <v>197</v>
      </c>
      <c r="E224" s="1" t="s">
        <v>41</v>
      </c>
      <c r="F224" s="1" t="s">
        <v>73</v>
      </c>
      <c r="G224" s="2" t="s">
        <v>286</v>
      </c>
      <c r="H224" t="str">
        <f>_xlfn.XLOOKUP(Vet_Visits[[#This Row],[Charge_Code]],Charge_Reference!A:A,Charge_Reference!B:B)</f>
        <v>Office Visit</v>
      </c>
      <c r="I224" t="s">
        <v>59</v>
      </c>
      <c r="J224" s="3">
        <v>-227.3981</v>
      </c>
      <c r="K224" t="s">
        <v>3</v>
      </c>
    </row>
    <row r="225" spans="1:11" x14ac:dyDescent="0.3">
      <c r="A225" s="4">
        <v>224</v>
      </c>
      <c r="B225" s="4">
        <v>14</v>
      </c>
      <c r="C225" s="4">
        <v>83</v>
      </c>
      <c r="D225" s="1" t="s">
        <v>149</v>
      </c>
      <c r="E225" s="1" t="s">
        <v>41</v>
      </c>
      <c r="F225" s="1" t="s">
        <v>82</v>
      </c>
      <c r="G225" s="2" t="s">
        <v>287</v>
      </c>
      <c r="H225" t="str">
        <f>_xlfn.XLOOKUP(Vet_Visits[[#This Row],[Charge_Code]],Charge_Reference!A:A,Charge_Reference!B:B)</f>
        <v>Emergency Visit</v>
      </c>
      <c r="I225" t="s">
        <v>36</v>
      </c>
      <c r="J225" s="3">
        <v>-5.4984999999999999</v>
      </c>
      <c r="K225" t="s">
        <v>7</v>
      </c>
    </row>
    <row r="226" spans="1:11" x14ac:dyDescent="0.3">
      <c r="A226" s="4">
        <v>225</v>
      </c>
      <c r="B226" s="4">
        <v>132</v>
      </c>
      <c r="C226" s="4">
        <v>76</v>
      </c>
      <c r="D226" s="1" t="s">
        <v>52</v>
      </c>
      <c r="E226" s="1" t="s">
        <v>41</v>
      </c>
      <c r="F226" s="1" t="s">
        <v>102</v>
      </c>
      <c r="G226" s="2" t="s">
        <v>136</v>
      </c>
      <c r="H226" t="str">
        <f>_xlfn.XLOOKUP(Vet_Visits[[#This Row],[Charge_Code]],Charge_Reference!A:A,Charge_Reference!B:B)</f>
        <v>Nail Trim</v>
      </c>
      <c r="I226" t="s">
        <v>64</v>
      </c>
      <c r="J226" s="3">
        <v>459.96199999999999</v>
      </c>
      <c r="K226" t="s">
        <v>5</v>
      </c>
    </row>
    <row r="227" spans="1:11" x14ac:dyDescent="0.3">
      <c r="A227" s="4">
        <v>226</v>
      </c>
      <c r="B227" s="4">
        <v>80</v>
      </c>
      <c r="C227" s="4">
        <v>138</v>
      </c>
      <c r="D227" s="1" t="s">
        <v>130</v>
      </c>
      <c r="E227" s="1" t="s">
        <v>41</v>
      </c>
      <c r="F227" s="1" t="s">
        <v>30</v>
      </c>
      <c r="G227" s="2" t="s">
        <v>288</v>
      </c>
      <c r="H227" t="str">
        <f>_xlfn.XLOOKUP(Vet_Visits[[#This Row],[Charge_Code]],Charge_Reference!A:A,Charge_Reference!B:B)</f>
        <v>Surgery</v>
      </c>
      <c r="I227" t="s">
        <v>32</v>
      </c>
      <c r="J227" s="3">
        <v>986.57500000000005</v>
      </c>
      <c r="K227" t="s">
        <v>5</v>
      </c>
    </row>
    <row r="228" spans="1:11" x14ac:dyDescent="0.3">
      <c r="A228" s="4">
        <v>227</v>
      </c>
      <c r="B228" s="4">
        <v>158</v>
      </c>
      <c r="C228" s="4">
        <v>83</v>
      </c>
      <c r="D228" s="1" t="s">
        <v>120</v>
      </c>
      <c r="E228" s="1" t="s">
        <v>29</v>
      </c>
      <c r="F228" s="1" t="s">
        <v>145</v>
      </c>
      <c r="G228" s="2" t="s">
        <v>278</v>
      </c>
      <c r="H228" t="str">
        <f>_xlfn.XLOOKUP(Vet_Visits[[#This Row],[Charge_Code]],Charge_Reference!A:A,Charge_Reference!B:B)</f>
        <v>Dental Cleaning</v>
      </c>
      <c r="I228" t="s">
        <v>47</v>
      </c>
      <c r="J228" s="3">
        <v>287.66730000000001</v>
      </c>
      <c r="K228" t="s">
        <v>5</v>
      </c>
    </row>
    <row r="229" spans="1:11" x14ac:dyDescent="0.3">
      <c r="A229" s="4">
        <v>228</v>
      </c>
      <c r="B229" s="4">
        <v>162</v>
      </c>
      <c r="C229" s="4">
        <v>45</v>
      </c>
      <c r="D229" s="1" t="s">
        <v>142</v>
      </c>
      <c r="E229" s="1" t="s">
        <v>29</v>
      </c>
      <c r="F229" s="1" t="s">
        <v>87</v>
      </c>
      <c r="G229" s="2" t="s">
        <v>289</v>
      </c>
      <c r="H229" t="str">
        <f>_xlfn.XLOOKUP(Vet_Visits[[#This Row],[Charge_Code]],Charge_Reference!A:A,Charge_Reference!B:B)</f>
        <v>Nail Trim</v>
      </c>
      <c r="I229" t="s">
        <v>64</v>
      </c>
      <c r="J229" s="3">
        <v>-141.47989999999999</v>
      </c>
      <c r="K229" t="s">
        <v>5</v>
      </c>
    </row>
    <row r="230" spans="1:11" x14ac:dyDescent="0.3">
      <c r="A230" s="4">
        <v>229</v>
      </c>
      <c r="B230" s="4">
        <v>164</v>
      </c>
      <c r="C230" s="4">
        <v>97</v>
      </c>
      <c r="D230" s="1" t="s">
        <v>89</v>
      </c>
      <c r="E230" s="1" t="s">
        <v>29</v>
      </c>
      <c r="F230" s="1" t="s">
        <v>61</v>
      </c>
      <c r="G230" s="2" t="s">
        <v>39</v>
      </c>
      <c r="H230" t="str">
        <f>_xlfn.XLOOKUP(Vet_Visits[[#This Row],[Charge_Code]],Charge_Reference!A:A,Charge_Reference!B:B)</f>
        <v>Office Visit</v>
      </c>
      <c r="I230" t="s">
        <v>59</v>
      </c>
      <c r="J230" s="3">
        <v>930.03089999999997</v>
      </c>
      <c r="K230" t="s">
        <v>5</v>
      </c>
    </row>
    <row r="231" spans="1:11" x14ac:dyDescent="0.3">
      <c r="A231" s="4">
        <v>230</v>
      </c>
      <c r="B231" s="4">
        <v>24</v>
      </c>
      <c r="C231" s="4">
        <v>6</v>
      </c>
      <c r="D231" s="1" t="s">
        <v>120</v>
      </c>
      <c r="E231" s="1" t="s">
        <v>41</v>
      </c>
      <c r="F231" s="1" t="s">
        <v>49</v>
      </c>
      <c r="G231" s="2" t="s">
        <v>290</v>
      </c>
      <c r="H231" t="str">
        <f>_xlfn.XLOOKUP(Vet_Visits[[#This Row],[Charge_Code]],Charge_Reference!A:A,Charge_Reference!B:B)</f>
        <v>Surgery</v>
      </c>
      <c r="I231" t="s">
        <v>32</v>
      </c>
      <c r="J231" s="3">
        <v>932.0027</v>
      </c>
      <c r="K231" t="s">
        <v>5</v>
      </c>
    </row>
    <row r="232" spans="1:11" x14ac:dyDescent="0.3">
      <c r="A232" s="4">
        <v>231</v>
      </c>
      <c r="B232" s="4">
        <v>169</v>
      </c>
      <c r="C232" s="4">
        <v>53</v>
      </c>
      <c r="D232" s="1" t="s">
        <v>60</v>
      </c>
      <c r="E232" s="1" t="s">
        <v>29</v>
      </c>
      <c r="F232" s="1" t="s">
        <v>160</v>
      </c>
      <c r="G232" s="2" t="s">
        <v>239</v>
      </c>
      <c r="H232" t="str">
        <f>_xlfn.XLOOKUP(Vet_Visits[[#This Row],[Charge_Code]],Charge_Reference!A:A,Charge_Reference!B:B)</f>
        <v>Dental Cleaning</v>
      </c>
      <c r="I232" t="s">
        <v>47</v>
      </c>
      <c r="J232" s="3">
        <v>691.3075</v>
      </c>
      <c r="K232" t="s">
        <v>5</v>
      </c>
    </row>
    <row r="233" spans="1:11" x14ac:dyDescent="0.3">
      <c r="A233" s="4">
        <v>232</v>
      </c>
      <c r="B233" s="4">
        <v>71</v>
      </c>
      <c r="C233" s="4">
        <v>72</v>
      </c>
      <c r="D233" s="1" t="s">
        <v>70</v>
      </c>
      <c r="E233" s="1" t="s">
        <v>41</v>
      </c>
      <c r="F233" s="1" t="s">
        <v>30</v>
      </c>
      <c r="G233" s="2" t="s">
        <v>291</v>
      </c>
      <c r="H233" t="str">
        <f>_xlfn.XLOOKUP(Vet_Visits[[#This Row],[Charge_Code]],Charge_Reference!A:A,Charge_Reference!B:B)</f>
        <v>Emergency Visit</v>
      </c>
      <c r="I233" t="s">
        <v>36</v>
      </c>
      <c r="J233" s="3">
        <v>473.59789999999998</v>
      </c>
      <c r="K233" t="s">
        <v>7</v>
      </c>
    </row>
    <row r="234" spans="1:11" x14ac:dyDescent="0.3">
      <c r="A234" s="4">
        <v>233</v>
      </c>
      <c r="B234" s="4">
        <v>146</v>
      </c>
      <c r="C234" s="4">
        <v>85</v>
      </c>
      <c r="D234" s="1" t="s">
        <v>109</v>
      </c>
      <c r="E234" s="1" t="s">
        <v>41</v>
      </c>
      <c r="F234" s="1" t="s">
        <v>118</v>
      </c>
      <c r="G234" s="2" t="s">
        <v>222</v>
      </c>
      <c r="H234" t="str">
        <f>_xlfn.XLOOKUP(Vet_Visits[[#This Row],[Charge_Code]],Charge_Reference!A:A,Charge_Reference!B:B)</f>
        <v>Radiographs</v>
      </c>
      <c r="I234" t="s">
        <v>51</v>
      </c>
      <c r="J234" s="3">
        <v>663.98209999999995</v>
      </c>
      <c r="K234" t="s">
        <v>3</v>
      </c>
    </row>
    <row r="235" spans="1:11" x14ac:dyDescent="0.3">
      <c r="A235" s="4">
        <v>234</v>
      </c>
      <c r="B235" s="4">
        <v>155</v>
      </c>
      <c r="C235" s="4">
        <v>46</v>
      </c>
      <c r="D235" s="1" t="s">
        <v>115</v>
      </c>
      <c r="E235" s="1" t="s">
        <v>29</v>
      </c>
      <c r="F235" s="1" t="s">
        <v>118</v>
      </c>
      <c r="G235" s="2" t="s">
        <v>136</v>
      </c>
      <c r="H235" t="str">
        <f>_xlfn.XLOOKUP(Vet_Visits[[#This Row],[Charge_Code]],Charge_Reference!A:A,Charge_Reference!B:B)</f>
        <v>Dental Cleaning</v>
      </c>
      <c r="I235" t="s">
        <v>47</v>
      </c>
      <c r="J235" s="3">
        <v>-1.9833000000000001</v>
      </c>
      <c r="K235" t="s">
        <v>5</v>
      </c>
    </row>
    <row r="236" spans="1:11" x14ac:dyDescent="0.3">
      <c r="A236" s="4">
        <v>235</v>
      </c>
      <c r="B236" s="4">
        <v>200</v>
      </c>
      <c r="C236" s="4">
        <v>129</v>
      </c>
      <c r="D236" s="1" t="s">
        <v>154</v>
      </c>
      <c r="E236" s="1" t="s">
        <v>41</v>
      </c>
      <c r="F236" s="1" t="s">
        <v>53</v>
      </c>
      <c r="G236" s="2" t="s">
        <v>67</v>
      </c>
      <c r="H236" t="str">
        <f>_xlfn.XLOOKUP(Vet_Visits[[#This Row],[Charge_Code]],Charge_Reference!A:A,Charge_Reference!B:B)</f>
        <v>Office Visit</v>
      </c>
      <c r="I236" t="s">
        <v>59</v>
      </c>
      <c r="J236" s="3">
        <v>666.29859999999996</v>
      </c>
      <c r="K236" t="s">
        <v>3</v>
      </c>
    </row>
    <row r="237" spans="1:11" x14ac:dyDescent="0.3">
      <c r="A237" s="4">
        <v>236</v>
      </c>
      <c r="B237" s="4">
        <v>6</v>
      </c>
      <c r="C237" s="4">
        <v>48</v>
      </c>
      <c r="D237" s="1" t="s">
        <v>176</v>
      </c>
      <c r="E237" s="1" t="s">
        <v>41</v>
      </c>
      <c r="F237" s="1" t="s">
        <v>107</v>
      </c>
      <c r="G237" s="2" t="s">
        <v>292</v>
      </c>
      <c r="H237" t="str">
        <f>_xlfn.XLOOKUP(Vet_Visits[[#This Row],[Charge_Code]],Charge_Reference!A:A,Charge_Reference!B:B)</f>
        <v>Office Visit</v>
      </c>
      <c r="I237" t="s">
        <v>59</v>
      </c>
      <c r="J237" s="3">
        <v>235.96690000000001</v>
      </c>
      <c r="K237" t="s">
        <v>7</v>
      </c>
    </row>
    <row r="238" spans="1:11" x14ac:dyDescent="0.3">
      <c r="A238" s="4">
        <v>237</v>
      </c>
      <c r="B238" s="4">
        <v>55</v>
      </c>
      <c r="C238" s="4">
        <v>10</v>
      </c>
      <c r="D238" s="1" t="s">
        <v>91</v>
      </c>
      <c r="E238" s="1" t="s">
        <v>29</v>
      </c>
      <c r="F238" s="1" t="s">
        <v>73</v>
      </c>
      <c r="G238" s="2" t="s">
        <v>173</v>
      </c>
      <c r="H238" t="str">
        <f>_xlfn.XLOOKUP(Vet_Visits[[#This Row],[Charge_Code]],Charge_Reference!A:A,Charge_Reference!B:B)</f>
        <v>Nail Trim</v>
      </c>
      <c r="I238" t="s">
        <v>64</v>
      </c>
      <c r="J238" s="3">
        <v>58.4985</v>
      </c>
      <c r="K238" t="s">
        <v>3</v>
      </c>
    </row>
    <row r="239" spans="1:11" x14ac:dyDescent="0.3">
      <c r="A239" s="4">
        <v>238</v>
      </c>
      <c r="B239" s="4">
        <v>130</v>
      </c>
      <c r="C239" s="4">
        <v>134</v>
      </c>
      <c r="D239" s="1" t="s">
        <v>68</v>
      </c>
      <c r="E239" s="1" t="s">
        <v>29</v>
      </c>
      <c r="F239" s="1" t="s">
        <v>145</v>
      </c>
      <c r="G239" s="2" t="s">
        <v>72</v>
      </c>
      <c r="H239" t="str">
        <f>_xlfn.XLOOKUP(Vet_Visits[[#This Row],[Charge_Code]],Charge_Reference!A:A,Charge_Reference!B:B)</f>
        <v>Annual Bloodwork</v>
      </c>
      <c r="I239" t="s">
        <v>40</v>
      </c>
      <c r="J239" s="3">
        <v>368.49310000000003</v>
      </c>
      <c r="K239" t="s">
        <v>7</v>
      </c>
    </row>
    <row r="240" spans="1:11" x14ac:dyDescent="0.3">
      <c r="A240" s="4">
        <v>239</v>
      </c>
      <c r="B240" s="4">
        <v>112</v>
      </c>
      <c r="C240" s="4">
        <v>57</v>
      </c>
      <c r="D240" s="1" t="s">
        <v>113</v>
      </c>
      <c r="E240" s="1" t="s">
        <v>29</v>
      </c>
      <c r="F240" s="1" t="s">
        <v>45</v>
      </c>
      <c r="G240" s="2" t="s">
        <v>221</v>
      </c>
      <c r="H240" t="str">
        <f>_xlfn.XLOOKUP(Vet_Visits[[#This Row],[Charge_Code]],Charge_Reference!A:A,Charge_Reference!B:B)</f>
        <v>Office Visit</v>
      </c>
      <c r="I240" t="s">
        <v>59</v>
      </c>
      <c r="J240" s="3">
        <v>301.93860000000001</v>
      </c>
      <c r="K240" t="s">
        <v>5</v>
      </c>
    </row>
    <row r="241" spans="1:11" x14ac:dyDescent="0.3">
      <c r="A241" s="4">
        <v>240</v>
      </c>
      <c r="B241" s="4">
        <v>199</v>
      </c>
      <c r="C241" s="4">
        <v>144</v>
      </c>
      <c r="D241" s="1" t="s">
        <v>78</v>
      </c>
      <c r="E241" s="1" t="s">
        <v>41</v>
      </c>
      <c r="F241" s="1" t="s">
        <v>38</v>
      </c>
      <c r="G241" s="2" t="s">
        <v>293</v>
      </c>
      <c r="H241" t="str">
        <f>_xlfn.XLOOKUP(Vet_Visits[[#This Row],[Charge_Code]],Charge_Reference!A:A,Charge_Reference!B:B)</f>
        <v>Radiographs</v>
      </c>
      <c r="I241" t="s">
        <v>51</v>
      </c>
      <c r="J241" s="3">
        <v>604.56859999999995</v>
      </c>
      <c r="K241" t="s">
        <v>3</v>
      </c>
    </row>
    <row r="242" spans="1:11" x14ac:dyDescent="0.3">
      <c r="A242" s="4">
        <v>241</v>
      </c>
      <c r="B242" s="4">
        <v>37</v>
      </c>
      <c r="C242" s="4">
        <v>23</v>
      </c>
      <c r="D242" s="1" t="s">
        <v>93</v>
      </c>
      <c r="E242" s="1" t="s">
        <v>41</v>
      </c>
      <c r="F242" s="1" t="s">
        <v>61</v>
      </c>
      <c r="G242" s="2" t="s">
        <v>271</v>
      </c>
      <c r="H242" t="str">
        <f>_xlfn.XLOOKUP(Vet_Visits[[#This Row],[Charge_Code]],Charge_Reference!A:A,Charge_Reference!B:B)</f>
        <v>Emergency Visit</v>
      </c>
      <c r="I242" t="s">
        <v>36</v>
      </c>
      <c r="J242" s="3">
        <v>706.2912</v>
      </c>
      <c r="K242" t="s">
        <v>3</v>
      </c>
    </row>
    <row r="243" spans="1:11" x14ac:dyDescent="0.3">
      <c r="A243" s="4">
        <v>242</v>
      </c>
      <c r="B243" s="4">
        <v>92</v>
      </c>
      <c r="C243" s="4">
        <v>23</v>
      </c>
      <c r="D243" s="1" t="s">
        <v>84</v>
      </c>
      <c r="E243" s="1" t="s">
        <v>29</v>
      </c>
      <c r="F243" s="1" t="s">
        <v>71</v>
      </c>
      <c r="G243" s="2" t="s">
        <v>294</v>
      </c>
      <c r="H243" t="str">
        <f>_xlfn.XLOOKUP(Vet_Visits[[#This Row],[Charge_Code]],Charge_Reference!A:A,Charge_Reference!B:B)</f>
        <v>Dental Cleaning</v>
      </c>
      <c r="I243" t="s">
        <v>47</v>
      </c>
      <c r="J243" s="3">
        <v>989.38890000000004</v>
      </c>
      <c r="K243" t="s">
        <v>3</v>
      </c>
    </row>
    <row r="244" spans="1:11" x14ac:dyDescent="0.3">
      <c r="A244" s="4">
        <v>243</v>
      </c>
      <c r="B244" s="4">
        <v>159</v>
      </c>
      <c r="C244" s="4">
        <v>108</v>
      </c>
      <c r="D244" s="1" t="s">
        <v>113</v>
      </c>
      <c r="E244" s="1" t="s">
        <v>29</v>
      </c>
      <c r="F244" s="1" t="s">
        <v>131</v>
      </c>
      <c r="G244" s="2" t="s">
        <v>295</v>
      </c>
      <c r="H244" t="str">
        <f>_xlfn.XLOOKUP(Vet_Visits[[#This Row],[Charge_Code]],Charge_Reference!A:A,Charge_Reference!B:B)</f>
        <v>Radiographs</v>
      </c>
      <c r="I244" t="s">
        <v>51</v>
      </c>
      <c r="J244" s="3">
        <v>402.7056</v>
      </c>
      <c r="K244" t="s">
        <v>3</v>
      </c>
    </row>
    <row r="245" spans="1:11" x14ac:dyDescent="0.3">
      <c r="A245" s="4">
        <v>244</v>
      </c>
      <c r="B245" s="4">
        <v>89</v>
      </c>
      <c r="C245" s="4">
        <v>100</v>
      </c>
      <c r="D245" s="1" t="s">
        <v>176</v>
      </c>
      <c r="E245" s="1" t="s">
        <v>41</v>
      </c>
      <c r="F245" s="1" t="s">
        <v>102</v>
      </c>
      <c r="G245" s="2" t="s">
        <v>169</v>
      </c>
      <c r="H245" t="str">
        <f>_xlfn.XLOOKUP(Vet_Visits[[#This Row],[Charge_Code]],Charge_Reference!A:A,Charge_Reference!B:B)</f>
        <v>Radiographs</v>
      </c>
      <c r="I245" t="s">
        <v>51</v>
      </c>
      <c r="J245" s="3">
        <v>306.5258</v>
      </c>
      <c r="K245" t="s">
        <v>3</v>
      </c>
    </row>
    <row r="246" spans="1:11" x14ac:dyDescent="0.3">
      <c r="A246" s="4">
        <v>245</v>
      </c>
      <c r="B246" s="4">
        <v>188</v>
      </c>
      <c r="C246" s="4">
        <v>88</v>
      </c>
      <c r="D246" s="1" t="s">
        <v>96</v>
      </c>
      <c r="E246" s="1" t="s">
        <v>29</v>
      </c>
      <c r="F246" s="1" t="s">
        <v>97</v>
      </c>
      <c r="G246" s="2" t="s">
        <v>296</v>
      </c>
      <c r="H246" t="str">
        <f>_xlfn.XLOOKUP(Vet_Visits[[#This Row],[Charge_Code]],Charge_Reference!A:A,Charge_Reference!B:B)</f>
        <v>Vaccination</v>
      </c>
      <c r="I246" t="s">
        <v>55</v>
      </c>
      <c r="J246" s="3">
        <v>494.36079999999998</v>
      </c>
      <c r="K246" t="s">
        <v>7</v>
      </c>
    </row>
    <row r="247" spans="1:11" x14ac:dyDescent="0.3">
      <c r="A247" s="4">
        <v>246</v>
      </c>
      <c r="B247" s="4">
        <v>143</v>
      </c>
      <c r="C247" s="4">
        <v>79</v>
      </c>
      <c r="D247" s="1" t="s">
        <v>176</v>
      </c>
      <c r="E247" s="1" t="s">
        <v>29</v>
      </c>
      <c r="F247" s="1" t="s">
        <v>116</v>
      </c>
      <c r="G247" s="2" t="s">
        <v>167</v>
      </c>
      <c r="H247" t="str">
        <f>_xlfn.XLOOKUP(Vet_Visits[[#This Row],[Charge_Code]],Charge_Reference!A:A,Charge_Reference!B:B)</f>
        <v>Dental Cleaning</v>
      </c>
      <c r="I247" t="s">
        <v>47</v>
      </c>
      <c r="J247" s="3">
        <v>-190.655</v>
      </c>
      <c r="K247" t="s">
        <v>5</v>
      </c>
    </row>
    <row r="248" spans="1:11" x14ac:dyDescent="0.3">
      <c r="A248" s="4">
        <v>247</v>
      </c>
      <c r="B248" s="4">
        <v>1</v>
      </c>
      <c r="C248" s="4">
        <v>67</v>
      </c>
      <c r="D248" s="1" t="s">
        <v>142</v>
      </c>
      <c r="E248" s="1" t="s">
        <v>29</v>
      </c>
      <c r="F248" s="1" t="s">
        <v>42</v>
      </c>
      <c r="G248" s="2" t="s">
        <v>297</v>
      </c>
      <c r="H248" t="str">
        <f>_xlfn.XLOOKUP(Vet_Visits[[#This Row],[Charge_Code]],Charge_Reference!A:A,Charge_Reference!B:B)</f>
        <v>Radiographs</v>
      </c>
      <c r="I248" t="s">
        <v>51</v>
      </c>
      <c r="J248" s="3">
        <v>20.9849</v>
      </c>
      <c r="K248" t="s">
        <v>5</v>
      </c>
    </row>
    <row r="249" spans="1:11" x14ac:dyDescent="0.3">
      <c r="A249" s="4">
        <v>248</v>
      </c>
      <c r="B249" s="4">
        <v>198</v>
      </c>
      <c r="C249" s="4">
        <v>68</v>
      </c>
      <c r="D249" s="1" t="s">
        <v>188</v>
      </c>
      <c r="E249" s="1" t="s">
        <v>29</v>
      </c>
      <c r="F249" s="1" t="s">
        <v>42</v>
      </c>
      <c r="G249" s="2" t="s">
        <v>247</v>
      </c>
      <c r="H249" t="str">
        <f>_xlfn.XLOOKUP(Vet_Visits[[#This Row],[Charge_Code]],Charge_Reference!A:A,Charge_Reference!B:B)</f>
        <v>Nail Trim</v>
      </c>
      <c r="I249" t="s">
        <v>64</v>
      </c>
      <c r="J249" s="3">
        <v>529.94899999999996</v>
      </c>
      <c r="K249" t="s">
        <v>7</v>
      </c>
    </row>
    <row r="250" spans="1:11" x14ac:dyDescent="0.3">
      <c r="A250" s="4">
        <v>249</v>
      </c>
      <c r="B250" s="4">
        <v>3</v>
      </c>
      <c r="C250" s="4">
        <v>124</v>
      </c>
      <c r="D250" s="1" t="s">
        <v>139</v>
      </c>
      <c r="E250" s="1" t="s">
        <v>41</v>
      </c>
      <c r="F250" s="1" t="s">
        <v>57</v>
      </c>
      <c r="G250" s="2" t="s">
        <v>298</v>
      </c>
      <c r="H250" t="str">
        <f>_xlfn.XLOOKUP(Vet_Visits[[#This Row],[Charge_Code]],Charge_Reference!A:A,Charge_Reference!B:B)</f>
        <v>Surgery</v>
      </c>
      <c r="I250" t="s">
        <v>32</v>
      </c>
      <c r="J250" s="3">
        <v>-12.8192</v>
      </c>
      <c r="K250" t="s">
        <v>7</v>
      </c>
    </row>
    <row r="251" spans="1:11" x14ac:dyDescent="0.3">
      <c r="A251" s="4">
        <v>250</v>
      </c>
      <c r="B251" s="4">
        <v>95</v>
      </c>
      <c r="C251" s="4">
        <v>119</v>
      </c>
      <c r="D251" s="1" t="s">
        <v>217</v>
      </c>
      <c r="E251" s="1" t="s">
        <v>29</v>
      </c>
      <c r="F251" s="1" t="s">
        <v>49</v>
      </c>
      <c r="G251" s="2" t="s">
        <v>170</v>
      </c>
      <c r="H251" t="str">
        <f>_xlfn.XLOOKUP(Vet_Visits[[#This Row],[Charge_Code]],Charge_Reference!A:A,Charge_Reference!B:B)</f>
        <v>Vaccination</v>
      </c>
      <c r="I251" t="s">
        <v>55</v>
      </c>
      <c r="J251" s="3">
        <v>709.1848</v>
      </c>
      <c r="K251" t="s">
        <v>3</v>
      </c>
    </row>
    <row r="252" spans="1:11" x14ac:dyDescent="0.3">
      <c r="A252" s="4">
        <v>251</v>
      </c>
      <c r="B252" s="4">
        <v>135</v>
      </c>
      <c r="C252" s="4">
        <v>93</v>
      </c>
      <c r="D252" s="1" t="s">
        <v>48</v>
      </c>
      <c r="E252" s="1" t="s">
        <v>29</v>
      </c>
      <c r="F252" s="1" t="s">
        <v>76</v>
      </c>
      <c r="G252" s="2" t="s">
        <v>299</v>
      </c>
      <c r="H252" t="str">
        <f>_xlfn.XLOOKUP(Vet_Visits[[#This Row],[Charge_Code]],Charge_Reference!A:A,Charge_Reference!B:B)</f>
        <v>Surgery</v>
      </c>
      <c r="I252" t="s">
        <v>32</v>
      </c>
      <c r="J252" s="3">
        <v>937.99689999999998</v>
      </c>
      <c r="K252" t="s">
        <v>5</v>
      </c>
    </row>
    <row r="253" spans="1:11" x14ac:dyDescent="0.3">
      <c r="A253" s="4">
        <v>252</v>
      </c>
      <c r="B253" s="4">
        <v>167</v>
      </c>
      <c r="C253" s="4">
        <v>29</v>
      </c>
      <c r="D253" s="1" t="s">
        <v>84</v>
      </c>
      <c r="E253" s="1" t="s">
        <v>41</v>
      </c>
      <c r="F253" s="1" t="s">
        <v>107</v>
      </c>
      <c r="G253" s="2" t="s">
        <v>195</v>
      </c>
      <c r="H253" t="str">
        <f>_xlfn.XLOOKUP(Vet_Visits[[#This Row],[Charge_Code]],Charge_Reference!A:A,Charge_Reference!B:B)</f>
        <v>Annual Bloodwork</v>
      </c>
      <c r="I253" t="s">
        <v>40</v>
      </c>
      <c r="J253" s="3">
        <v>134.14410000000001</v>
      </c>
      <c r="K253" t="s">
        <v>5</v>
      </c>
    </row>
    <row r="254" spans="1:11" x14ac:dyDescent="0.3">
      <c r="A254" s="4">
        <v>253</v>
      </c>
      <c r="B254" s="4">
        <v>45</v>
      </c>
      <c r="C254" s="4">
        <v>75</v>
      </c>
      <c r="D254" s="1" t="s">
        <v>191</v>
      </c>
      <c r="E254" s="1" t="s">
        <v>29</v>
      </c>
      <c r="F254" s="1" t="s">
        <v>160</v>
      </c>
      <c r="G254" s="2" t="s">
        <v>300</v>
      </c>
      <c r="H254" t="str">
        <f>_xlfn.XLOOKUP(Vet_Visits[[#This Row],[Charge_Code]],Charge_Reference!A:A,Charge_Reference!B:B)</f>
        <v>Office Visit</v>
      </c>
      <c r="I254" t="s">
        <v>59</v>
      </c>
      <c r="J254" s="3">
        <v>55.731499999999997</v>
      </c>
      <c r="K254" t="s">
        <v>3</v>
      </c>
    </row>
    <row r="255" spans="1:11" x14ac:dyDescent="0.3">
      <c r="A255" s="4">
        <v>254</v>
      </c>
      <c r="B255" s="4">
        <v>68</v>
      </c>
      <c r="C255" s="4">
        <v>96</v>
      </c>
      <c r="D255" s="1" t="s">
        <v>147</v>
      </c>
      <c r="E255" s="1" t="s">
        <v>29</v>
      </c>
      <c r="F255" s="1" t="s">
        <v>151</v>
      </c>
      <c r="G255" s="2" t="s">
        <v>227</v>
      </c>
      <c r="H255" t="str">
        <f>_xlfn.XLOOKUP(Vet_Visits[[#This Row],[Charge_Code]],Charge_Reference!A:A,Charge_Reference!B:B)</f>
        <v>Vaccination</v>
      </c>
      <c r="I255" t="s">
        <v>55</v>
      </c>
      <c r="J255" s="3">
        <v>399.0763</v>
      </c>
      <c r="K255" t="s">
        <v>7</v>
      </c>
    </row>
    <row r="256" spans="1:11" x14ac:dyDescent="0.3">
      <c r="A256" s="4">
        <v>255</v>
      </c>
      <c r="B256" s="4">
        <v>21</v>
      </c>
      <c r="C256" s="4">
        <v>70</v>
      </c>
      <c r="D256" s="1" t="s">
        <v>109</v>
      </c>
      <c r="E256" s="1" t="s">
        <v>29</v>
      </c>
      <c r="F256" s="1" t="s">
        <v>107</v>
      </c>
      <c r="G256" s="2" t="s">
        <v>257</v>
      </c>
      <c r="H256" t="str">
        <f>_xlfn.XLOOKUP(Vet_Visits[[#This Row],[Charge_Code]],Charge_Reference!A:A,Charge_Reference!B:B)</f>
        <v>Dental Cleaning</v>
      </c>
      <c r="I256" t="s">
        <v>47</v>
      </c>
      <c r="J256" s="3">
        <v>848.01750000000004</v>
      </c>
      <c r="K256" t="s">
        <v>3</v>
      </c>
    </row>
    <row r="257" spans="1:11" x14ac:dyDescent="0.3">
      <c r="A257" s="4">
        <v>256</v>
      </c>
      <c r="B257" s="4">
        <v>22</v>
      </c>
      <c r="C257" s="4">
        <v>92</v>
      </c>
      <c r="D257" s="1" t="s">
        <v>183</v>
      </c>
      <c r="E257" s="1" t="s">
        <v>29</v>
      </c>
      <c r="F257" s="1" t="s">
        <v>82</v>
      </c>
      <c r="G257" s="2" t="s">
        <v>301</v>
      </c>
      <c r="H257" t="str">
        <f>_xlfn.XLOOKUP(Vet_Visits[[#This Row],[Charge_Code]],Charge_Reference!A:A,Charge_Reference!B:B)</f>
        <v>Vaccination</v>
      </c>
      <c r="I257" t="s">
        <v>55</v>
      </c>
      <c r="J257" s="3">
        <v>703.55240000000003</v>
      </c>
      <c r="K257" t="s">
        <v>5</v>
      </c>
    </row>
    <row r="258" spans="1:11" x14ac:dyDescent="0.3">
      <c r="A258" s="4">
        <v>257</v>
      </c>
      <c r="B258" s="4">
        <v>1</v>
      </c>
      <c r="C258" s="4">
        <v>12</v>
      </c>
      <c r="D258" s="1" t="s">
        <v>214</v>
      </c>
      <c r="E258" s="1" t="s">
        <v>29</v>
      </c>
      <c r="F258" s="1" t="s">
        <v>53</v>
      </c>
      <c r="G258" s="2" t="s">
        <v>216</v>
      </c>
      <c r="H258" t="str">
        <f>_xlfn.XLOOKUP(Vet_Visits[[#This Row],[Charge_Code]],Charge_Reference!A:A,Charge_Reference!B:B)</f>
        <v>Annual Bloodwork</v>
      </c>
      <c r="I258" t="s">
        <v>40</v>
      </c>
      <c r="J258" s="3">
        <v>768.99019999999996</v>
      </c>
      <c r="K258" t="s">
        <v>3</v>
      </c>
    </row>
    <row r="259" spans="1:11" x14ac:dyDescent="0.3">
      <c r="A259" s="4">
        <v>258</v>
      </c>
      <c r="B259" s="4">
        <v>85</v>
      </c>
      <c r="C259" s="4">
        <v>143</v>
      </c>
      <c r="D259" s="1" t="s">
        <v>211</v>
      </c>
      <c r="E259" s="1" t="s">
        <v>29</v>
      </c>
      <c r="F259" s="1" t="s">
        <v>82</v>
      </c>
      <c r="G259" s="2" t="s">
        <v>302</v>
      </c>
      <c r="H259" t="str">
        <f>_xlfn.XLOOKUP(Vet_Visits[[#This Row],[Charge_Code]],Charge_Reference!A:A,Charge_Reference!B:B)</f>
        <v>Office Visit</v>
      </c>
      <c r="I259" t="s">
        <v>59</v>
      </c>
      <c r="J259" s="3">
        <v>204.3784</v>
      </c>
      <c r="K259" t="s">
        <v>5</v>
      </c>
    </row>
    <row r="260" spans="1:11" x14ac:dyDescent="0.3">
      <c r="A260" s="4">
        <v>259</v>
      </c>
      <c r="B260" s="4">
        <v>9</v>
      </c>
      <c r="C260" s="4">
        <v>135</v>
      </c>
      <c r="D260" s="1" t="s">
        <v>84</v>
      </c>
      <c r="E260" s="1" t="s">
        <v>41</v>
      </c>
      <c r="F260" s="1" t="s">
        <v>160</v>
      </c>
      <c r="G260" s="2" t="s">
        <v>303</v>
      </c>
      <c r="H260" t="str">
        <f>_xlfn.XLOOKUP(Vet_Visits[[#This Row],[Charge_Code]],Charge_Reference!A:A,Charge_Reference!B:B)</f>
        <v>Radiographs</v>
      </c>
      <c r="I260" t="s">
        <v>51</v>
      </c>
      <c r="J260" s="3">
        <v>981.23979999999995</v>
      </c>
      <c r="K260" t="s">
        <v>7</v>
      </c>
    </row>
    <row r="261" spans="1:11" x14ac:dyDescent="0.3">
      <c r="A261" s="4">
        <v>260</v>
      </c>
      <c r="B261" s="4">
        <v>64</v>
      </c>
      <c r="C261" s="4">
        <v>114</v>
      </c>
      <c r="D261" s="1" t="s">
        <v>149</v>
      </c>
      <c r="E261" s="1" t="s">
        <v>29</v>
      </c>
      <c r="F261" s="1" t="s">
        <v>76</v>
      </c>
      <c r="G261" s="2" t="s">
        <v>304</v>
      </c>
      <c r="H261" t="str">
        <f>_xlfn.XLOOKUP(Vet_Visits[[#This Row],[Charge_Code]],Charge_Reference!A:A,Charge_Reference!B:B)</f>
        <v>Nail Trim</v>
      </c>
      <c r="I261" t="s">
        <v>64</v>
      </c>
      <c r="J261" s="3">
        <v>756.8836</v>
      </c>
      <c r="K261" t="s">
        <v>3</v>
      </c>
    </row>
    <row r="262" spans="1:11" x14ac:dyDescent="0.3">
      <c r="A262" s="4">
        <v>261</v>
      </c>
      <c r="B262" s="4">
        <v>200</v>
      </c>
      <c r="C262" s="4">
        <v>18</v>
      </c>
      <c r="D262" s="1" t="s">
        <v>211</v>
      </c>
      <c r="E262" s="1" t="s">
        <v>41</v>
      </c>
      <c r="F262" s="1" t="s">
        <v>61</v>
      </c>
      <c r="G262" s="2" t="s">
        <v>305</v>
      </c>
      <c r="H262" t="str">
        <f>_xlfn.XLOOKUP(Vet_Visits[[#This Row],[Charge_Code]],Charge_Reference!A:A,Charge_Reference!B:B)</f>
        <v>Office Visit</v>
      </c>
      <c r="I262" t="s">
        <v>59</v>
      </c>
      <c r="J262" s="3">
        <v>61.8001</v>
      </c>
      <c r="K262" t="s">
        <v>5</v>
      </c>
    </row>
    <row r="263" spans="1:11" x14ac:dyDescent="0.3">
      <c r="A263" s="4">
        <v>262</v>
      </c>
      <c r="B263" s="4">
        <v>127</v>
      </c>
      <c r="C263" s="4">
        <v>68</v>
      </c>
      <c r="D263" s="1" t="s">
        <v>52</v>
      </c>
      <c r="E263" s="1" t="s">
        <v>41</v>
      </c>
      <c r="F263" s="1" t="s">
        <v>76</v>
      </c>
      <c r="G263" s="2" t="s">
        <v>133</v>
      </c>
      <c r="H263" t="str">
        <f>_xlfn.XLOOKUP(Vet_Visits[[#This Row],[Charge_Code]],Charge_Reference!A:A,Charge_Reference!B:B)</f>
        <v>Annual Bloodwork</v>
      </c>
      <c r="I263" t="s">
        <v>40</v>
      </c>
      <c r="J263" s="3">
        <v>702.53989999999999</v>
      </c>
      <c r="K263" t="s">
        <v>5</v>
      </c>
    </row>
    <row r="264" spans="1:11" x14ac:dyDescent="0.3">
      <c r="A264" s="4">
        <v>263</v>
      </c>
      <c r="B264" s="4">
        <v>87</v>
      </c>
      <c r="C264" s="4">
        <v>31</v>
      </c>
      <c r="D264" s="1" t="s">
        <v>81</v>
      </c>
      <c r="E264" s="1" t="s">
        <v>29</v>
      </c>
      <c r="F264" s="1" t="s">
        <v>145</v>
      </c>
      <c r="G264" s="2" t="s">
        <v>306</v>
      </c>
      <c r="H264" t="str">
        <f>_xlfn.XLOOKUP(Vet_Visits[[#This Row],[Charge_Code]],Charge_Reference!A:A,Charge_Reference!B:B)</f>
        <v>Nail Trim</v>
      </c>
      <c r="I264" t="s">
        <v>64</v>
      </c>
      <c r="J264" s="3">
        <v>-7.5829000000000004</v>
      </c>
      <c r="K264" t="s">
        <v>5</v>
      </c>
    </row>
    <row r="265" spans="1:11" x14ac:dyDescent="0.3">
      <c r="A265" s="4">
        <v>264</v>
      </c>
      <c r="B265" s="4">
        <v>54</v>
      </c>
      <c r="C265" s="4">
        <v>15</v>
      </c>
      <c r="D265" s="1" t="s">
        <v>91</v>
      </c>
      <c r="E265" s="1" t="s">
        <v>41</v>
      </c>
      <c r="F265" s="1" t="s">
        <v>171</v>
      </c>
      <c r="G265" s="2" t="s">
        <v>307</v>
      </c>
      <c r="H265" t="str">
        <f>_xlfn.XLOOKUP(Vet_Visits[[#This Row],[Charge_Code]],Charge_Reference!A:A,Charge_Reference!B:B)</f>
        <v>Surgery</v>
      </c>
      <c r="I265" t="s">
        <v>32</v>
      </c>
      <c r="J265" s="3">
        <v>151.87129999999999</v>
      </c>
      <c r="K265" t="s">
        <v>3</v>
      </c>
    </row>
    <row r="266" spans="1:11" x14ac:dyDescent="0.3">
      <c r="A266" s="4">
        <v>265</v>
      </c>
      <c r="B266" s="4">
        <v>195</v>
      </c>
      <c r="C266" s="4">
        <v>49</v>
      </c>
      <c r="D266" s="1" t="s">
        <v>93</v>
      </c>
      <c r="E266" s="1" t="s">
        <v>41</v>
      </c>
      <c r="F266" s="1" t="s">
        <v>34</v>
      </c>
      <c r="G266" s="2" t="s">
        <v>308</v>
      </c>
      <c r="H266" t="str">
        <f>_xlfn.XLOOKUP(Vet_Visits[[#This Row],[Charge_Code]],Charge_Reference!A:A,Charge_Reference!B:B)</f>
        <v>Surgery</v>
      </c>
      <c r="I266" t="s">
        <v>32</v>
      </c>
      <c r="J266" s="3">
        <v>3.4083999999999999</v>
      </c>
      <c r="K266" t="s">
        <v>3</v>
      </c>
    </row>
    <row r="267" spans="1:11" x14ac:dyDescent="0.3">
      <c r="A267" s="4">
        <v>266</v>
      </c>
      <c r="B267" s="4">
        <v>40</v>
      </c>
      <c r="C267" s="4">
        <v>34</v>
      </c>
      <c r="D267" s="1" t="s">
        <v>147</v>
      </c>
      <c r="E267" s="1" t="s">
        <v>41</v>
      </c>
      <c r="F267" s="1" t="s">
        <v>71</v>
      </c>
      <c r="G267" s="2" t="s">
        <v>309</v>
      </c>
      <c r="H267" t="str">
        <f>_xlfn.XLOOKUP(Vet_Visits[[#This Row],[Charge_Code]],Charge_Reference!A:A,Charge_Reference!B:B)</f>
        <v>Emergency Visit</v>
      </c>
      <c r="I267" t="s">
        <v>36</v>
      </c>
      <c r="J267" s="3">
        <v>941.65480000000002</v>
      </c>
      <c r="K267" t="s">
        <v>5</v>
      </c>
    </row>
    <row r="268" spans="1:11" x14ac:dyDescent="0.3">
      <c r="A268" s="4">
        <v>267</v>
      </c>
      <c r="B268" s="4">
        <v>93</v>
      </c>
      <c r="C268" s="4">
        <v>121</v>
      </c>
      <c r="D268" s="1" t="s">
        <v>126</v>
      </c>
      <c r="E268" s="1" t="s">
        <v>29</v>
      </c>
      <c r="F268" s="1" t="s">
        <v>85</v>
      </c>
      <c r="G268" s="2" t="s">
        <v>180</v>
      </c>
      <c r="H268" t="str">
        <f>_xlfn.XLOOKUP(Vet_Visits[[#This Row],[Charge_Code]],Charge_Reference!A:A,Charge_Reference!B:B)</f>
        <v>Surgery</v>
      </c>
      <c r="I268" t="s">
        <v>32</v>
      </c>
      <c r="J268" s="3">
        <v>210.39160000000001</v>
      </c>
      <c r="K268" t="s">
        <v>5</v>
      </c>
    </row>
    <row r="269" spans="1:11" x14ac:dyDescent="0.3">
      <c r="A269" s="4">
        <v>268</v>
      </c>
      <c r="B269" s="4">
        <v>185</v>
      </c>
      <c r="C269" s="4">
        <v>116</v>
      </c>
      <c r="D269" s="1" t="s">
        <v>154</v>
      </c>
      <c r="E269" s="1" t="s">
        <v>29</v>
      </c>
      <c r="F269" s="1" t="s">
        <v>53</v>
      </c>
      <c r="G269" s="2" t="s">
        <v>248</v>
      </c>
      <c r="H269" t="str">
        <f>_xlfn.XLOOKUP(Vet_Visits[[#This Row],[Charge_Code]],Charge_Reference!A:A,Charge_Reference!B:B)</f>
        <v>Surgery</v>
      </c>
      <c r="I269" t="s">
        <v>32</v>
      </c>
      <c r="J269" s="3">
        <v>500.19130000000001</v>
      </c>
      <c r="K269" t="s">
        <v>5</v>
      </c>
    </row>
    <row r="270" spans="1:11" x14ac:dyDescent="0.3">
      <c r="A270" s="4">
        <v>269</v>
      </c>
      <c r="B270" s="4">
        <v>131</v>
      </c>
      <c r="C270" s="4">
        <v>89</v>
      </c>
      <c r="D270" s="1" t="s">
        <v>84</v>
      </c>
      <c r="E270" s="1" t="s">
        <v>29</v>
      </c>
      <c r="F270" s="1" t="s">
        <v>116</v>
      </c>
      <c r="G270" s="2" t="s">
        <v>173</v>
      </c>
      <c r="H270" t="str">
        <f>_xlfn.XLOOKUP(Vet_Visits[[#This Row],[Charge_Code]],Charge_Reference!A:A,Charge_Reference!B:B)</f>
        <v>Surgery</v>
      </c>
      <c r="I270" t="s">
        <v>32</v>
      </c>
      <c r="J270" s="3">
        <v>623.41480000000001</v>
      </c>
      <c r="K270" t="s">
        <v>3</v>
      </c>
    </row>
    <row r="271" spans="1:11" x14ac:dyDescent="0.3">
      <c r="A271" s="4">
        <v>270</v>
      </c>
      <c r="B271" s="4">
        <v>31</v>
      </c>
      <c r="C271" s="4">
        <v>38</v>
      </c>
      <c r="D271" s="1" t="s">
        <v>70</v>
      </c>
      <c r="E271" s="1" t="s">
        <v>41</v>
      </c>
      <c r="F271" s="1" t="s">
        <v>57</v>
      </c>
      <c r="G271" s="2" t="s">
        <v>310</v>
      </c>
      <c r="H271" t="str">
        <f>_xlfn.XLOOKUP(Vet_Visits[[#This Row],[Charge_Code]],Charge_Reference!A:A,Charge_Reference!B:B)</f>
        <v>Dental Cleaning</v>
      </c>
      <c r="I271" t="s">
        <v>47</v>
      </c>
      <c r="J271" s="3">
        <v>835.18650000000002</v>
      </c>
      <c r="K271" t="s">
        <v>7</v>
      </c>
    </row>
    <row r="272" spans="1:11" x14ac:dyDescent="0.3">
      <c r="A272" s="4">
        <v>271</v>
      </c>
      <c r="B272" s="4">
        <v>56</v>
      </c>
      <c r="C272" s="4">
        <v>71</v>
      </c>
      <c r="D272" s="1" t="s">
        <v>220</v>
      </c>
      <c r="E272" s="1" t="s">
        <v>29</v>
      </c>
      <c r="F272" s="1" t="s">
        <v>42</v>
      </c>
      <c r="G272" s="2" t="s">
        <v>290</v>
      </c>
      <c r="H272" t="str">
        <f>_xlfn.XLOOKUP(Vet_Visits[[#This Row],[Charge_Code]],Charge_Reference!A:A,Charge_Reference!B:B)</f>
        <v>Emergency Visit</v>
      </c>
      <c r="I272" t="s">
        <v>36</v>
      </c>
      <c r="J272" s="3">
        <v>652.3578</v>
      </c>
      <c r="K272" t="s">
        <v>7</v>
      </c>
    </row>
    <row r="273" spans="1:11" x14ac:dyDescent="0.3">
      <c r="A273" s="4">
        <v>272</v>
      </c>
      <c r="B273" s="4">
        <v>135</v>
      </c>
      <c r="C273" s="4">
        <v>135</v>
      </c>
      <c r="D273" s="1" t="s">
        <v>244</v>
      </c>
      <c r="E273" s="1" t="s">
        <v>41</v>
      </c>
      <c r="F273" s="1" t="s">
        <v>45</v>
      </c>
      <c r="G273" s="2" t="s">
        <v>260</v>
      </c>
      <c r="H273" t="str">
        <f>_xlfn.XLOOKUP(Vet_Visits[[#This Row],[Charge_Code]],Charge_Reference!A:A,Charge_Reference!B:B)</f>
        <v>Annual Bloodwork</v>
      </c>
      <c r="I273" t="s">
        <v>40</v>
      </c>
      <c r="J273" s="3">
        <v>833.65060000000005</v>
      </c>
      <c r="K273" t="s">
        <v>5</v>
      </c>
    </row>
    <row r="274" spans="1:11" x14ac:dyDescent="0.3">
      <c r="A274" s="4">
        <v>273</v>
      </c>
      <c r="B274" s="4">
        <v>19</v>
      </c>
      <c r="C274" s="4">
        <v>61</v>
      </c>
      <c r="D274" s="1" t="s">
        <v>179</v>
      </c>
      <c r="E274" s="1" t="s">
        <v>29</v>
      </c>
      <c r="F274" s="1" t="s">
        <v>171</v>
      </c>
      <c r="G274" s="2" t="s">
        <v>132</v>
      </c>
      <c r="H274" t="str">
        <f>_xlfn.XLOOKUP(Vet_Visits[[#This Row],[Charge_Code]],Charge_Reference!A:A,Charge_Reference!B:B)</f>
        <v>Emergency Visit</v>
      </c>
      <c r="I274" t="s">
        <v>36</v>
      </c>
      <c r="J274" s="3">
        <v>864.29219999999998</v>
      </c>
      <c r="K274" t="s">
        <v>3</v>
      </c>
    </row>
    <row r="275" spans="1:11" x14ac:dyDescent="0.3">
      <c r="A275" s="4">
        <v>274</v>
      </c>
      <c r="B275" s="4">
        <v>194</v>
      </c>
      <c r="C275" s="4">
        <v>149</v>
      </c>
      <c r="D275" s="1" t="s">
        <v>89</v>
      </c>
      <c r="E275" s="1" t="s">
        <v>29</v>
      </c>
      <c r="F275" s="1" t="s">
        <v>57</v>
      </c>
      <c r="G275" s="2" t="s">
        <v>311</v>
      </c>
      <c r="H275" t="str">
        <f>_xlfn.XLOOKUP(Vet_Visits[[#This Row],[Charge_Code]],Charge_Reference!A:A,Charge_Reference!B:B)</f>
        <v>Radiographs</v>
      </c>
      <c r="I275" t="s">
        <v>51</v>
      </c>
      <c r="J275" s="3">
        <v>937.99369999999999</v>
      </c>
      <c r="K275" t="s">
        <v>5</v>
      </c>
    </row>
    <row r="276" spans="1:11" x14ac:dyDescent="0.3">
      <c r="A276" s="4">
        <v>275</v>
      </c>
      <c r="B276" s="4">
        <v>107</v>
      </c>
      <c r="C276" s="4">
        <v>12</v>
      </c>
      <c r="D276" s="1" t="s">
        <v>244</v>
      </c>
      <c r="E276" s="1" t="s">
        <v>29</v>
      </c>
      <c r="F276" s="1" t="s">
        <v>116</v>
      </c>
      <c r="G276" s="2" t="s">
        <v>153</v>
      </c>
      <c r="H276" t="str">
        <f>_xlfn.XLOOKUP(Vet_Visits[[#This Row],[Charge_Code]],Charge_Reference!A:A,Charge_Reference!B:B)</f>
        <v>Emergency Visit</v>
      </c>
      <c r="I276" t="s">
        <v>36</v>
      </c>
      <c r="J276" s="3">
        <v>-190.23249999999999</v>
      </c>
      <c r="K276" t="s">
        <v>5</v>
      </c>
    </row>
    <row r="277" spans="1:11" x14ac:dyDescent="0.3">
      <c r="A277" s="4">
        <v>276</v>
      </c>
      <c r="B277" s="4">
        <v>159</v>
      </c>
      <c r="C277" s="4">
        <v>64</v>
      </c>
      <c r="D277" s="1" t="s">
        <v>312</v>
      </c>
      <c r="E277" s="1" t="s">
        <v>29</v>
      </c>
      <c r="F277" s="1" t="s">
        <v>104</v>
      </c>
      <c r="G277" s="2" t="s">
        <v>313</v>
      </c>
      <c r="H277" t="str">
        <f>_xlfn.XLOOKUP(Vet_Visits[[#This Row],[Charge_Code]],Charge_Reference!A:A,Charge_Reference!B:B)</f>
        <v>Dental Cleaning</v>
      </c>
      <c r="I277" t="s">
        <v>47</v>
      </c>
      <c r="J277" s="3">
        <v>547.42399999999998</v>
      </c>
      <c r="K277" t="s">
        <v>7</v>
      </c>
    </row>
    <row r="278" spans="1:11" x14ac:dyDescent="0.3">
      <c r="A278" s="4">
        <v>277</v>
      </c>
      <c r="B278" s="4">
        <v>147</v>
      </c>
      <c r="C278" s="4">
        <v>75</v>
      </c>
      <c r="D278" s="1" t="s">
        <v>120</v>
      </c>
      <c r="E278" s="1" t="s">
        <v>41</v>
      </c>
      <c r="F278" s="1" t="s">
        <v>61</v>
      </c>
      <c r="G278" s="2" t="s">
        <v>215</v>
      </c>
      <c r="H278" t="str">
        <f>_xlfn.XLOOKUP(Vet_Visits[[#This Row],[Charge_Code]],Charge_Reference!A:A,Charge_Reference!B:B)</f>
        <v>Dental Cleaning</v>
      </c>
      <c r="I278" t="s">
        <v>47</v>
      </c>
      <c r="J278" s="3">
        <v>599.75210000000004</v>
      </c>
      <c r="K278" t="s">
        <v>7</v>
      </c>
    </row>
    <row r="279" spans="1:11" x14ac:dyDescent="0.3">
      <c r="A279" s="4">
        <v>278</v>
      </c>
      <c r="B279" s="4">
        <v>84</v>
      </c>
      <c r="C279" s="4">
        <v>150</v>
      </c>
      <c r="D279" s="1" t="s">
        <v>312</v>
      </c>
      <c r="E279" s="1" t="s">
        <v>41</v>
      </c>
      <c r="F279" s="1" t="s">
        <v>87</v>
      </c>
      <c r="G279" s="2" t="s">
        <v>314</v>
      </c>
      <c r="H279" t="str">
        <f>_xlfn.XLOOKUP(Vet_Visits[[#This Row],[Charge_Code]],Charge_Reference!A:A,Charge_Reference!B:B)</f>
        <v>Annual Bloodwork</v>
      </c>
      <c r="I279" t="s">
        <v>40</v>
      </c>
      <c r="J279" s="3">
        <v>201.33260000000001</v>
      </c>
      <c r="K279" t="s">
        <v>5</v>
      </c>
    </row>
    <row r="280" spans="1:11" x14ac:dyDescent="0.3">
      <c r="A280" s="4">
        <v>279</v>
      </c>
      <c r="B280" s="4">
        <v>192</v>
      </c>
      <c r="C280" s="4">
        <v>33</v>
      </c>
      <c r="D280" s="1" t="s">
        <v>154</v>
      </c>
      <c r="E280" s="1" t="s">
        <v>29</v>
      </c>
      <c r="F280" s="1" t="s">
        <v>116</v>
      </c>
      <c r="G280" s="2" t="s">
        <v>315</v>
      </c>
      <c r="H280" t="str">
        <f>_xlfn.XLOOKUP(Vet_Visits[[#This Row],[Charge_Code]],Charge_Reference!A:A,Charge_Reference!B:B)</f>
        <v>Surgery</v>
      </c>
      <c r="I280" t="s">
        <v>32</v>
      </c>
      <c r="J280" s="3">
        <v>796.90470000000005</v>
      </c>
      <c r="K280" t="s">
        <v>7</v>
      </c>
    </row>
    <row r="281" spans="1:11" x14ac:dyDescent="0.3">
      <c r="A281" s="4">
        <v>280</v>
      </c>
      <c r="B281" s="4">
        <v>190</v>
      </c>
      <c r="C281" s="4">
        <v>96</v>
      </c>
      <c r="D281" s="1" t="s">
        <v>179</v>
      </c>
      <c r="E281" s="1" t="s">
        <v>29</v>
      </c>
      <c r="F281" s="1" t="s">
        <v>45</v>
      </c>
      <c r="G281" s="2" t="s">
        <v>148</v>
      </c>
      <c r="H281" t="str">
        <f>_xlfn.XLOOKUP(Vet_Visits[[#This Row],[Charge_Code]],Charge_Reference!A:A,Charge_Reference!B:B)</f>
        <v>Surgery</v>
      </c>
      <c r="I281" t="s">
        <v>32</v>
      </c>
      <c r="J281" s="3">
        <v>218.9503</v>
      </c>
      <c r="K281" t="s">
        <v>5</v>
      </c>
    </row>
    <row r="282" spans="1:11" x14ac:dyDescent="0.3">
      <c r="A282" s="4">
        <v>281</v>
      </c>
      <c r="B282" s="4">
        <v>80</v>
      </c>
      <c r="C282" s="4">
        <v>36</v>
      </c>
      <c r="D282" s="1" t="s">
        <v>113</v>
      </c>
      <c r="E282" s="1" t="s">
        <v>41</v>
      </c>
      <c r="F282" s="1" t="s">
        <v>87</v>
      </c>
      <c r="G282" s="2" t="s">
        <v>316</v>
      </c>
      <c r="H282" t="str">
        <f>_xlfn.XLOOKUP(Vet_Visits[[#This Row],[Charge_Code]],Charge_Reference!A:A,Charge_Reference!B:B)</f>
        <v>Vaccination</v>
      </c>
      <c r="I282" t="s">
        <v>55</v>
      </c>
      <c r="J282" s="3">
        <v>187.49449999999999</v>
      </c>
      <c r="K282" t="s">
        <v>5</v>
      </c>
    </row>
    <row r="283" spans="1:11" x14ac:dyDescent="0.3">
      <c r="A283" s="4">
        <v>282</v>
      </c>
      <c r="B283" s="4">
        <v>32</v>
      </c>
      <c r="C283" s="4">
        <v>30</v>
      </c>
      <c r="D283" s="1" t="s">
        <v>217</v>
      </c>
      <c r="E283" s="1" t="s">
        <v>41</v>
      </c>
      <c r="F283" s="1" t="s">
        <v>42</v>
      </c>
      <c r="G283" s="2" t="s">
        <v>177</v>
      </c>
      <c r="H283" t="str">
        <f>_xlfn.XLOOKUP(Vet_Visits[[#This Row],[Charge_Code]],Charge_Reference!A:A,Charge_Reference!B:B)</f>
        <v>Nail Trim</v>
      </c>
      <c r="I283" t="s">
        <v>64</v>
      </c>
      <c r="J283" s="3">
        <v>156.34610000000001</v>
      </c>
      <c r="K283" t="s">
        <v>3</v>
      </c>
    </row>
    <row r="284" spans="1:11" x14ac:dyDescent="0.3">
      <c r="A284" s="4">
        <v>283</v>
      </c>
      <c r="B284" s="4">
        <v>160</v>
      </c>
      <c r="C284" s="4">
        <v>87</v>
      </c>
      <c r="D284" s="1" t="s">
        <v>211</v>
      </c>
      <c r="E284" s="1" t="s">
        <v>41</v>
      </c>
      <c r="F284" s="1" t="s">
        <v>107</v>
      </c>
      <c r="G284" s="2" t="s">
        <v>317</v>
      </c>
      <c r="H284" t="str">
        <f>_xlfn.XLOOKUP(Vet_Visits[[#This Row],[Charge_Code]],Charge_Reference!A:A,Charge_Reference!B:B)</f>
        <v>Annual Bloodwork</v>
      </c>
      <c r="I284" t="s">
        <v>40</v>
      </c>
      <c r="J284" s="3">
        <v>818.17679999999996</v>
      </c>
      <c r="K284" t="s">
        <v>5</v>
      </c>
    </row>
    <row r="285" spans="1:11" x14ac:dyDescent="0.3">
      <c r="A285" s="4">
        <v>284</v>
      </c>
      <c r="B285" s="4">
        <v>165</v>
      </c>
      <c r="C285" s="4">
        <v>24</v>
      </c>
      <c r="D285" s="1" t="s">
        <v>214</v>
      </c>
      <c r="E285" s="1" t="s">
        <v>41</v>
      </c>
      <c r="F285" s="1" t="s">
        <v>61</v>
      </c>
      <c r="G285" s="2" t="s">
        <v>318</v>
      </c>
      <c r="H285" t="str">
        <f>_xlfn.XLOOKUP(Vet_Visits[[#This Row],[Charge_Code]],Charge_Reference!A:A,Charge_Reference!B:B)</f>
        <v>Office Visit</v>
      </c>
      <c r="I285" t="s">
        <v>59</v>
      </c>
      <c r="J285" s="3">
        <v>321.07479999999998</v>
      </c>
      <c r="K285" t="s">
        <v>5</v>
      </c>
    </row>
    <row r="286" spans="1:11" x14ac:dyDescent="0.3">
      <c r="A286" s="4">
        <v>285</v>
      </c>
      <c r="B286" s="4">
        <v>167</v>
      </c>
      <c r="C286" s="4">
        <v>83</v>
      </c>
      <c r="D286" s="1" t="s">
        <v>211</v>
      </c>
      <c r="E286" s="1" t="s">
        <v>41</v>
      </c>
      <c r="F286" s="1" t="s">
        <v>87</v>
      </c>
      <c r="G286" s="2" t="s">
        <v>319</v>
      </c>
      <c r="H286" t="str">
        <f>_xlfn.XLOOKUP(Vet_Visits[[#This Row],[Charge_Code]],Charge_Reference!A:A,Charge_Reference!B:B)</f>
        <v>Surgery</v>
      </c>
      <c r="I286" t="s">
        <v>32</v>
      </c>
      <c r="J286" s="3">
        <v>37.183700000000002</v>
      </c>
      <c r="K286" t="s">
        <v>7</v>
      </c>
    </row>
    <row r="287" spans="1:11" x14ac:dyDescent="0.3">
      <c r="A287" s="4">
        <v>286</v>
      </c>
      <c r="B287" s="4">
        <v>15</v>
      </c>
      <c r="C287" s="4">
        <v>138</v>
      </c>
      <c r="D287" s="1" t="s">
        <v>128</v>
      </c>
      <c r="E287" s="1" t="s">
        <v>41</v>
      </c>
      <c r="F287" s="1" t="s">
        <v>102</v>
      </c>
      <c r="G287" s="2" t="s">
        <v>243</v>
      </c>
      <c r="H287" t="str">
        <f>_xlfn.XLOOKUP(Vet_Visits[[#This Row],[Charge_Code]],Charge_Reference!A:A,Charge_Reference!B:B)</f>
        <v>Emergency Visit</v>
      </c>
      <c r="I287" t="s">
        <v>36</v>
      </c>
      <c r="J287" s="3">
        <v>-141.22739999999999</v>
      </c>
      <c r="K287" t="s">
        <v>7</v>
      </c>
    </row>
    <row r="288" spans="1:11" x14ac:dyDescent="0.3">
      <c r="A288" s="4">
        <v>287</v>
      </c>
      <c r="B288" s="4">
        <v>33</v>
      </c>
      <c r="C288" s="4">
        <v>99</v>
      </c>
      <c r="D288" s="1" t="s">
        <v>130</v>
      </c>
      <c r="E288" s="1" t="s">
        <v>41</v>
      </c>
      <c r="F288" s="1" t="s">
        <v>116</v>
      </c>
      <c r="G288" s="2" t="s">
        <v>98</v>
      </c>
      <c r="H288" t="str">
        <f>_xlfn.XLOOKUP(Vet_Visits[[#This Row],[Charge_Code]],Charge_Reference!A:A,Charge_Reference!B:B)</f>
        <v>Office Visit</v>
      </c>
      <c r="I288" t="s">
        <v>59</v>
      </c>
      <c r="J288" s="3">
        <v>181.8212</v>
      </c>
      <c r="K288" t="s">
        <v>3</v>
      </c>
    </row>
    <row r="289" spans="1:11" x14ac:dyDescent="0.3">
      <c r="A289" s="4">
        <v>288</v>
      </c>
      <c r="B289" s="4">
        <v>105</v>
      </c>
      <c r="C289" s="4">
        <v>35</v>
      </c>
      <c r="D289" s="1" t="s">
        <v>130</v>
      </c>
      <c r="E289" s="1" t="s">
        <v>41</v>
      </c>
      <c r="F289" s="1" t="s">
        <v>85</v>
      </c>
      <c r="G289" s="2" t="s">
        <v>320</v>
      </c>
      <c r="H289" t="str">
        <f>_xlfn.XLOOKUP(Vet_Visits[[#This Row],[Charge_Code]],Charge_Reference!A:A,Charge_Reference!B:B)</f>
        <v>Surgery</v>
      </c>
      <c r="I289" t="s">
        <v>32</v>
      </c>
      <c r="J289" s="3">
        <v>192.07159999999999</v>
      </c>
      <c r="K289" t="s">
        <v>3</v>
      </c>
    </row>
    <row r="290" spans="1:11" x14ac:dyDescent="0.3">
      <c r="A290" s="4">
        <v>289</v>
      </c>
      <c r="B290" s="4">
        <v>2</v>
      </c>
      <c r="C290" s="4">
        <v>30</v>
      </c>
      <c r="D290" s="1" t="s">
        <v>220</v>
      </c>
      <c r="E290" s="1" t="s">
        <v>41</v>
      </c>
      <c r="F290" s="1" t="s">
        <v>151</v>
      </c>
      <c r="G290" s="2" t="s">
        <v>321</v>
      </c>
      <c r="H290" t="str">
        <f>_xlfn.XLOOKUP(Vet_Visits[[#This Row],[Charge_Code]],Charge_Reference!A:A,Charge_Reference!B:B)</f>
        <v>Office Visit</v>
      </c>
      <c r="I290" t="s">
        <v>59</v>
      </c>
      <c r="J290" s="3">
        <v>996.05380000000002</v>
      </c>
      <c r="K290" t="s">
        <v>5</v>
      </c>
    </row>
    <row r="291" spans="1:11" x14ac:dyDescent="0.3">
      <c r="A291" s="4">
        <v>290</v>
      </c>
      <c r="B291" s="4">
        <v>59</v>
      </c>
      <c r="C291" s="4">
        <v>141</v>
      </c>
      <c r="D291" s="1" t="s">
        <v>244</v>
      </c>
      <c r="E291" s="1" t="s">
        <v>41</v>
      </c>
      <c r="F291" s="1" t="s">
        <v>131</v>
      </c>
      <c r="G291" s="2" t="s">
        <v>289</v>
      </c>
      <c r="H291" t="str">
        <f>_xlfn.XLOOKUP(Vet_Visits[[#This Row],[Charge_Code]],Charge_Reference!A:A,Charge_Reference!B:B)</f>
        <v>Annual Bloodwork</v>
      </c>
      <c r="I291" t="s">
        <v>40</v>
      </c>
      <c r="J291" s="3">
        <v>531.97080000000005</v>
      </c>
      <c r="K291" t="s">
        <v>5</v>
      </c>
    </row>
    <row r="292" spans="1:11" x14ac:dyDescent="0.3">
      <c r="A292" s="4">
        <v>291</v>
      </c>
      <c r="B292" s="4">
        <v>40</v>
      </c>
      <c r="C292" s="4">
        <v>136</v>
      </c>
      <c r="D292" s="1" t="s">
        <v>312</v>
      </c>
      <c r="E292" s="1" t="s">
        <v>29</v>
      </c>
      <c r="F292" s="1" t="s">
        <v>61</v>
      </c>
      <c r="G292" s="2" t="s">
        <v>235</v>
      </c>
      <c r="H292" t="str">
        <f>_xlfn.XLOOKUP(Vet_Visits[[#This Row],[Charge_Code]],Charge_Reference!A:A,Charge_Reference!B:B)</f>
        <v>Dental Cleaning</v>
      </c>
      <c r="I292" t="s">
        <v>47</v>
      </c>
      <c r="J292" s="3">
        <v>-95.172700000000006</v>
      </c>
      <c r="K292" t="s">
        <v>7</v>
      </c>
    </row>
    <row r="293" spans="1:11" x14ac:dyDescent="0.3">
      <c r="A293" s="4">
        <v>292</v>
      </c>
      <c r="B293" s="4">
        <v>172</v>
      </c>
      <c r="C293" s="4">
        <v>55</v>
      </c>
      <c r="D293" s="1" t="s">
        <v>37</v>
      </c>
      <c r="E293" s="1" t="s">
        <v>41</v>
      </c>
      <c r="F293" s="1" t="s">
        <v>45</v>
      </c>
      <c r="G293" s="2" t="s">
        <v>250</v>
      </c>
      <c r="H293" t="str">
        <f>_xlfn.XLOOKUP(Vet_Visits[[#This Row],[Charge_Code]],Charge_Reference!A:A,Charge_Reference!B:B)</f>
        <v>Radiographs</v>
      </c>
      <c r="I293" t="s">
        <v>51</v>
      </c>
      <c r="J293" s="3">
        <v>367.21850000000001</v>
      </c>
      <c r="K293" t="s">
        <v>3</v>
      </c>
    </row>
    <row r="294" spans="1:11" x14ac:dyDescent="0.3">
      <c r="A294" s="4">
        <v>293</v>
      </c>
      <c r="B294" s="4">
        <v>189</v>
      </c>
      <c r="C294" s="4">
        <v>3</v>
      </c>
      <c r="D294" s="1" t="s">
        <v>147</v>
      </c>
      <c r="E294" s="1" t="s">
        <v>29</v>
      </c>
      <c r="F294" s="1" t="s">
        <v>131</v>
      </c>
      <c r="G294" s="2" t="s">
        <v>296</v>
      </c>
      <c r="H294" t="str">
        <f>_xlfn.XLOOKUP(Vet_Visits[[#This Row],[Charge_Code]],Charge_Reference!A:A,Charge_Reference!B:B)</f>
        <v>Vaccination</v>
      </c>
      <c r="I294" t="s">
        <v>55</v>
      </c>
      <c r="J294" s="3">
        <v>898.85929999999996</v>
      </c>
      <c r="K294" t="s">
        <v>5</v>
      </c>
    </row>
    <row r="295" spans="1:11" x14ac:dyDescent="0.3">
      <c r="A295" s="4">
        <v>294</v>
      </c>
      <c r="B295" s="4">
        <v>66</v>
      </c>
      <c r="C295" s="4">
        <v>3</v>
      </c>
      <c r="D295" s="1" t="s">
        <v>217</v>
      </c>
      <c r="E295" s="1" t="s">
        <v>41</v>
      </c>
      <c r="F295" s="1" t="s">
        <v>111</v>
      </c>
      <c r="G295" s="2" t="s">
        <v>322</v>
      </c>
      <c r="H295" t="str">
        <f>_xlfn.XLOOKUP(Vet_Visits[[#This Row],[Charge_Code]],Charge_Reference!A:A,Charge_Reference!B:B)</f>
        <v>Vaccination</v>
      </c>
      <c r="I295" t="s">
        <v>55</v>
      </c>
      <c r="J295" s="3">
        <v>-213.45570000000001</v>
      </c>
      <c r="K295" t="s">
        <v>5</v>
      </c>
    </row>
    <row r="296" spans="1:11" x14ac:dyDescent="0.3">
      <c r="A296" s="4">
        <v>295</v>
      </c>
      <c r="B296" s="4">
        <v>190</v>
      </c>
      <c r="C296" s="4">
        <v>65</v>
      </c>
      <c r="D296" s="1" t="s">
        <v>65</v>
      </c>
      <c r="E296" s="1" t="s">
        <v>41</v>
      </c>
      <c r="F296" s="1" t="s">
        <v>145</v>
      </c>
      <c r="G296" s="2" t="s">
        <v>323</v>
      </c>
      <c r="H296" t="str">
        <f>_xlfn.XLOOKUP(Vet_Visits[[#This Row],[Charge_Code]],Charge_Reference!A:A,Charge_Reference!B:B)</f>
        <v>Office Visit</v>
      </c>
      <c r="I296" t="s">
        <v>59</v>
      </c>
      <c r="J296" s="3">
        <v>336.76499999999999</v>
      </c>
      <c r="K296" t="s">
        <v>7</v>
      </c>
    </row>
    <row r="297" spans="1:11" x14ac:dyDescent="0.3">
      <c r="A297" s="4">
        <v>296</v>
      </c>
      <c r="B297" s="4">
        <v>90</v>
      </c>
      <c r="C297" s="4">
        <v>25</v>
      </c>
      <c r="D297" s="1" t="s">
        <v>68</v>
      </c>
      <c r="E297" s="1" t="s">
        <v>41</v>
      </c>
      <c r="F297" s="1" t="s">
        <v>76</v>
      </c>
      <c r="G297" s="2" t="s">
        <v>324</v>
      </c>
      <c r="H297" t="str">
        <f>_xlfn.XLOOKUP(Vet_Visits[[#This Row],[Charge_Code]],Charge_Reference!A:A,Charge_Reference!B:B)</f>
        <v>Emergency Visit</v>
      </c>
      <c r="I297" t="s">
        <v>36</v>
      </c>
      <c r="J297" s="3">
        <v>678.88459999999998</v>
      </c>
      <c r="K297" t="s">
        <v>5</v>
      </c>
    </row>
    <row r="298" spans="1:11" x14ac:dyDescent="0.3">
      <c r="A298" s="4">
        <v>297</v>
      </c>
      <c r="B298" s="4">
        <v>45</v>
      </c>
      <c r="C298" s="4">
        <v>54</v>
      </c>
      <c r="D298" s="1" t="s">
        <v>217</v>
      </c>
      <c r="E298" s="1" t="s">
        <v>29</v>
      </c>
      <c r="F298" s="1" t="s">
        <v>34</v>
      </c>
      <c r="G298" s="2" t="s">
        <v>325</v>
      </c>
      <c r="H298" t="str">
        <f>_xlfn.XLOOKUP(Vet_Visits[[#This Row],[Charge_Code]],Charge_Reference!A:A,Charge_Reference!B:B)</f>
        <v>Nail Trim</v>
      </c>
      <c r="I298" t="s">
        <v>64</v>
      </c>
      <c r="J298" s="3">
        <v>910.04070000000002</v>
      </c>
      <c r="K298" t="s">
        <v>5</v>
      </c>
    </row>
    <row r="299" spans="1:11" x14ac:dyDescent="0.3">
      <c r="A299" s="4">
        <v>298</v>
      </c>
      <c r="B299" s="4">
        <v>63</v>
      </c>
      <c r="C299" s="4">
        <v>31</v>
      </c>
      <c r="D299" s="1" t="s">
        <v>162</v>
      </c>
      <c r="E299" s="1" t="s">
        <v>41</v>
      </c>
      <c r="F299" s="1" t="s">
        <v>94</v>
      </c>
      <c r="G299" s="2" t="s">
        <v>117</v>
      </c>
      <c r="H299" t="str">
        <f>_xlfn.XLOOKUP(Vet_Visits[[#This Row],[Charge_Code]],Charge_Reference!A:A,Charge_Reference!B:B)</f>
        <v>Office Visit</v>
      </c>
      <c r="I299" t="s">
        <v>59</v>
      </c>
      <c r="J299" s="3">
        <v>390.45460000000003</v>
      </c>
      <c r="K299" t="s">
        <v>3</v>
      </c>
    </row>
    <row r="300" spans="1:11" x14ac:dyDescent="0.3">
      <c r="A300" s="4">
        <v>299</v>
      </c>
      <c r="B300" s="4">
        <v>55</v>
      </c>
      <c r="C300" s="4">
        <v>54</v>
      </c>
      <c r="D300" s="1" t="s">
        <v>89</v>
      </c>
      <c r="E300" s="1" t="s">
        <v>29</v>
      </c>
      <c r="F300" s="1" t="s">
        <v>76</v>
      </c>
      <c r="G300" s="2" t="s">
        <v>103</v>
      </c>
      <c r="H300" t="str">
        <f>_xlfn.XLOOKUP(Vet_Visits[[#This Row],[Charge_Code]],Charge_Reference!A:A,Charge_Reference!B:B)</f>
        <v>Surgery</v>
      </c>
      <c r="I300" t="s">
        <v>32</v>
      </c>
      <c r="J300" s="3">
        <v>174.50280000000001</v>
      </c>
      <c r="K300" t="s">
        <v>3</v>
      </c>
    </row>
    <row r="301" spans="1:11" x14ac:dyDescent="0.3">
      <c r="A301" s="4">
        <v>300</v>
      </c>
      <c r="B301" s="4">
        <v>154</v>
      </c>
      <c r="C301" s="4">
        <v>59</v>
      </c>
      <c r="D301" s="1" t="s">
        <v>185</v>
      </c>
      <c r="E301" s="1" t="s">
        <v>29</v>
      </c>
      <c r="F301" s="1" t="s">
        <v>76</v>
      </c>
      <c r="G301" s="2" t="s">
        <v>157</v>
      </c>
      <c r="H301" t="str">
        <f>_xlfn.XLOOKUP(Vet_Visits[[#This Row],[Charge_Code]],Charge_Reference!A:A,Charge_Reference!B:B)</f>
        <v>Office Visit</v>
      </c>
      <c r="I301" t="s">
        <v>59</v>
      </c>
      <c r="J301" s="3">
        <v>759.76919999999996</v>
      </c>
      <c r="K301" t="s">
        <v>7</v>
      </c>
    </row>
    <row r="302" spans="1:11" x14ac:dyDescent="0.3">
      <c r="A302" s="4">
        <v>301</v>
      </c>
      <c r="B302" s="4">
        <v>37</v>
      </c>
      <c r="C302" s="4">
        <v>78</v>
      </c>
      <c r="D302" s="1" t="s">
        <v>84</v>
      </c>
      <c r="E302" s="1" t="s">
        <v>41</v>
      </c>
      <c r="F302" s="1" t="s">
        <v>107</v>
      </c>
      <c r="G302" s="2" t="s">
        <v>255</v>
      </c>
      <c r="H302" t="str">
        <f>_xlfn.XLOOKUP(Vet_Visits[[#This Row],[Charge_Code]],Charge_Reference!A:A,Charge_Reference!B:B)</f>
        <v>Dental Cleaning</v>
      </c>
      <c r="I302" t="s">
        <v>47</v>
      </c>
      <c r="J302" s="3">
        <v>730.35530000000006</v>
      </c>
      <c r="K302" t="s">
        <v>7</v>
      </c>
    </row>
    <row r="303" spans="1:11" x14ac:dyDescent="0.3">
      <c r="A303" s="4">
        <v>302</v>
      </c>
      <c r="B303" s="4">
        <v>40</v>
      </c>
      <c r="C303" s="4">
        <v>48</v>
      </c>
      <c r="D303" s="1" t="s">
        <v>115</v>
      </c>
      <c r="E303" s="1" t="s">
        <v>41</v>
      </c>
      <c r="F303" s="1" t="s">
        <v>61</v>
      </c>
      <c r="G303" s="2" t="s">
        <v>326</v>
      </c>
      <c r="H303" t="str">
        <f>_xlfn.XLOOKUP(Vet_Visits[[#This Row],[Charge_Code]],Charge_Reference!A:A,Charge_Reference!B:B)</f>
        <v>Annual Bloodwork</v>
      </c>
      <c r="I303" t="s">
        <v>40</v>
      </c>
      <c r="J303" s="3">
        <v>207.572</v>
      </c>
      <c r="K303" t="s">
        <v>7</v>
      </c>
    </row>
    <row r="304" spans="1:11" x14ac:dyDescent="0.3">
      <c r="A304" s="4">
        <v>303</v>
      </c>
      <c r="B304" s="4">
        <v>128</v>
      </c>
      <c r="C304" s="4">
        <v>21</v>
      </c>
      <c r="D304" s="1" t="s">
        <v>147</v>
      </c>
      <c r="E304" s="1" t="s">
        <v>41</v>
      </c>
      <c r="F304" s="1" t="s">
        <v>145</v>
      </c>
      <c r="G304" s="2" t="s">
        <v>138</v>
      </c>
      <c r="H304" t="str">
        <f>_xlfn.XLOOKUP(Vet_Visits[[#This Row],[Charge_Code]],Charge_Reference!A:A,Charge_Reference!B:B)</f>
        <v>Annual Bloodwork</v>
      </c>
      <c r="I304" t="s">
        <v>40</v>
      </c>
      <c r="J304" s="3">
        <v>564.83489999999995</v>
      </c>
      <c r="K304" t="s">
        <v>5</v>
      </c>
    </row>
    <row r="305" spans="1:11" x14ac:dyDescent="0.3">
      <c r="A305" s="4">
        <v>304</v>
      </c>
      <c r="B305" s="4">
        <v>147</v>
      </c>
      <c r="C305" s="4">
        <v>80</v>
      </c>
      <c r="D305" s="1" t="s">
        <v>217</v>
      </c>
      <c r="E305" s="1" t="s">
        <v>41</v>
      </c>
      <c r="F305" s="1" t="s">
        <v>171</v>
      </c>
      <c r="G305" s="2" t="s">
        <v>327</v>
      </c>
      <c r="H305" t="str">
        <f>_xlfn.XLOOKUP(Vet_Visits[[#This Row],[Charge_Code]],Charge_Reference!A:A,Charge_Reference!B:B)</f>
        <v>Radiographs</v>
      </c>
      <c r="I305" t="s">
        <v>51</v>
      </c>
      <c r="J305" s="3">
        <v>673.06669999999997</v>
      </c>
      <c r="K305" t="s">
        <v>5</v>
      </c>
    </row>
    <row r="306" spans="1:11" x14ac:dyDescent="0.3">
      <c r="A306" s="4">
        <v>305</v>
      </c>
      <c r="B306" s="4">
        <v>161</v>
      </c>
      <c r="C306" s="4">
        <v>2</v>
      </c>
      <c r="D306" s="1" t="s">
        <v>109</v>
      </c>
      <c r="E306" s="1" t="s">
        <v>29</v>
      </c>
      <c r="F306" s="1" t="s">
        <v>73</v>
      </c>
      <c r="G306" s="2" t="s">
        <v>328</v>
      </c>
      <c r="H306" t="str">
        <f>_xlfn.XLOOKUP(Vet_Visits[[#This Row],[Charge_Code]],Charge_Reference!A:A,Charge_Reference!B:B)</f>
        <v>Nail Trim</v>
      </c>
      <c r="I306" t="s">
        <v>64</v>
      </c>
      <c r="J306" s="3">
        <v>482.56450000000001</v>
      </c>
      <c r="K306" t="s">
        <v>5</v>
      </c>
    </row>
    <row r="307" spans="1:11" x14ac:dyDescent="0.3">
      <c r="A307" s="4">
        <v>306</v>
      </c>
      <c r="B307" s="4">
        <v>72</v>
      </c>
      <c r="C307" s="4">
        <v>143</v>
      </c>
      <c r="D307" s="1" t="s">
        <v>244</v>
      </c>
      <c r="E307" s="1" t="s">
        <v>41</v>
      </c>
      <c r="F307" s="1" t="s">
        <v>104</v>
      </c>
      <c r="G307" s="2" t="s">
        <v>309</v>
      </c>
      <c r="H307" t="str">
        <f>_xlfn.XLOOKUP(Vet_Visits[[#This Row],[Charge_Code]],Charge_Reference!A:A,Charge_Reference!B:B)</f>
        <v>Nail Trim</v>
      </c>
      <c r="I307" t="s">
        <v>64</v>
      </c>
      <c r="J307" s="3">
        <v>-275.05759999999998</v>
      </c>
      <c r="K307" t="s">
        <v>5</v>
      </c>
    </row>
    <row r="308" spans="1:11" x14ac:dyDescent="0.3">
      <c r="A308" s="4">
        <v>307</v>
      </c>
      <c r="B308" s="4">
        <v>98</v>
      </c>
      <c r="C308" s="4">
        <v>133</v>
      </c>
      <c r="D308" s="1" t="s">
        <v>33</v>
      </c>
      <c r="E308" s="1" t="s">
        <v>41</v>
      </c>
      <c r="F308" s="1" t="s">
        <v>107</v>
      </c>
      <c r="G308" s="2" t="s">
        <v>329</v>
      </c>
      <c r="H308" t="str">
        <f>_xlfn.XLOOKUP(Vet_Visits[[#This Row],[Charge_Code]],Charge_Reference!A:A,Charge_Reference!B:B)</f>
        <v>Surgery</v>
      </c>
      <c r="I308" t="s">
        <v>32</v>
      </c>
      <c r="J308" s="3">
        <v>898.55050000000006</v>
      </c>
      <c r="K308" t="s">
        <v>5</v>
      </c>
    </row>
    <row r="309" spans="1:11" x14ac:dyDescent="0.3">
      <c r="A309" s="4">
        <v>308</v>
      </c>
      <c r="B309" s="4">
        <v>23</v>
      </c>
      <c r="C309" s="4">
        <v>135</v>
      </c>
      <c r="D309" s="1" t="s">
        <v>96</v>
      </c>
      <c r="E309" s="1" t="s">
        <v>41</v>
      </c>
      <c r="F309" s="1" t="s">
        <v>151</v>
      </c>
      <c r="G309" s="2" t="s">
        <v>167</v>
      </c>
      <c r="H309" t="str">
        <f>_xlfn.XLOOKUP(Vet_Visits[[#This Row],[Charge_Code]],Charge_Reference!A:A,Charge_Reference!B:B)</f>
        <v>Radiographs</v>
      </c>
      <c r="I309" t="s">
        <v>51</v>
      </c>
      <c r="J309" s="3">
        <v>110.95010000000001</v>
      </c>
      <c r="K309" t="s">
        <v>3</v>
      </c>
    </row>
    <row r="310" spans="1:11" x14ac:dyDescent="0.3">
      <c r="A310" s="4">
        <v>309</v>
      </c>
      <c r="B310" s="4">
        <v>96</v>
      </c>
      <c r="C310" s="4">
        <v>83</v>
      </c>
      <c r="D310" s="1" t="s">
        <v>48</v>
      </c>
      <c r="E310" s="1" t="s">
        <v>29</v>
      </c>
      <c r="F310" s="1" t="s">
        <v>30</v>
      </c>
      <c r="G310" s="2" t="s">
        <v>330</v>
      </c>
      <c r="H310" t="str">
        <f>_xlfn.XLOOKUP(Vet_Visits[[#This Row],[Charge_Code]],Charge_Reference!A:A,Charge_Reference!B:B)</f>
        <v>Radiographs</v>
      </c>
      <c r="I310" t="s">
        <v>51</v>
      </c>
      <c r="J310" s="3">
        <v>965.85090000000002</v>
      </c>
      <c r="K310" t="s">
        <v>7</v>
      </c>
    </row>
    <row r="311" spans="1:11" x14ac:dyDescent="0.3">
      <c r="A311" s="4">
        <v>310</v>
      </c>
      <c r="B311" s="4">
        <v>192</v>
      </c>
      <c r="C311" s="4">
        <v>139</v>
      </c>
      <c r="D311" s="1" t="s">
        <v>60</v>
      </c>
      <c r="E311" s="1" t="s">
        <v>29</v>
      </c>
      <c r="F311" s="1" t="s">
        <v>45</v>
      </c>
      <c r="G311" s="2" t="s">
        <v>136</v>
      </c>
      <c r="H311" t="str">
        <f>_xlfn.XLOOKUP(Vet_Visits[[#This Row],[Charge_Code]],Charge_Reference!A:A,Charge_Reference!B:B)</f>
        <v>Dental Cleaning</v>
      </c>
      <c r="I311" t="s">
        <v>47</v>
      </c>
      <c r="J311" s="3">
        <v>953.96410000000003</v>
      </c>
      <c r="K311" t="s">
        <v>3</v>
      </c>
    </row>
    <row r="312" spans="1:11" x14ac:dyDescent="0.3">
      <c r="A312" s="4">
        <v>311</v>
      </c>
      <c r="B312" s="4">
        <v>43</v>
      </c>
      <c r="C312" s="4">
        <v>147</v>
      </c>
      <c r="D312" s="1" t="s">
        <v>149</v>
      </c>
      <c r="E312" s="1" t="s">
        <v>41</v>
      </c>
      <c r="F312" s="1" t="s">
        <v>104</v>
      </c>
      <c r="G312" s="2" t="s">
        <v>331</v>
      </c>
      <c r="H312" t="str">
        <f>_xlfn.XLOOKUP(Vet_Visits[[#This Row],[Charge_Code]],Charge_Reference!A:A,Charge_Reference!B:B)</f>
        <v>Office Visit</v>
      </c>
      <c r="I312" t="s">
        <v>59</v>
      </c>
      <c r="J312" s="3">
        <v>355.37060000000002</v>
      </c>
      <c r="K312" t="s">
        <v>5</v>
      </c>
    </row>
    <row r="313" spans="1:11" x14ac:dyDescent="0.3">
      <c r="A313" s="4">
        <v>312</v>
      </c>
      <c r="B313" s="4">
        <v>193</v>
      </c>
      <c r="C313" s="4">
        <v>5</v>
      </c>
      <c r="D313" s="1" t="s">
        <v>130</v>
      </c>
      <c r="E313" s="1" t="s">
        <v>29</v>
      </c>
      <c r="F313" s="1" t="s">
        <v>107</v>
      </c>
      <c r="G313" s="2" t="s">
        <v>332</v>
      </c>
      <c r="H313" t="str">
        <f>_xlfn.XLOOKUP(Vet_Visits[[#This Row],[Charge_Code]],Charge_Reference!A:A,Charge_Reference!B:B)</f>
        <v>Surgery</v>
      </c>
      <c r="I313" t="s">
        <v>32</v>
      </c>
      <c r="J313" s="3">
        <v>976.36220000000003</v>
      </c>
      <c r="K313" t="s">
        <v>3</v>
      </c>
    </row>
    <row r="314" spans="1:11" x14ac:dyDescent="0.3">
      <c r="A314" s="4">
        <v>313</v>
      </c>
      <c r="B314" s="4">
        <v>85</v>
      </c>
      <c r="C314" s="4">
        <v>92</v>
      </c>
      <c r="D314" s="1" t="s">
        <v>109</v>
      </c>
      <c r="E314" s="1" t="s">
        <v>41</v>
      </c>
      <c r="F314" s="1" t="s">
        <v>111</v>
      </c>
      <c r="G314" s="2" t="s">
        <v>333</v>
      </c>
      <c r="H314" t="str">
        <f>_xlfn.XLOOKUP(Vet_Visits[[#This Row],[Charge_Code]],Charge_Reference!A:A,Charge_Reference!B:B)</f>
        <v>Nail Trim</v>
      </c>
      <c r="I314" t="s">
        <v>64</v>
      </c>
      <c r="J314" s="3">
        <v>543.1345</v>
      </c>
      <c r="K314" t="s">
        <v>5</v>
      </c>
    </row>
    <row r="315" spans="1:11" x14ac:dyDescent="0.3">
      <c r="A315" s="4">
        <v>314</v>
      </c>
      <c r="B315" s="4">
        <v>125</v>
      </c>
      <c r="C315" s="4">
        <v>46</v>
      </c>
      <c r="D315" s="1" t="s">
        <v>230</v>
      </c>
      <c r="E315" s="1" t="s">
        <v>41</v>
      </c>
      <c r="F315" s="1" t="s">
        <v>131</v>
      </c>
      <c r="G315" s="2" t="s">
        <v>334</v>
      </c>
      <c r="H315" t="str">
        <f>_xlfn.XLOOKUP(Vet_Visits[[#This Row],[Charge_Code]],Charge_Reference!A:A,Charge_Reference!B:B)</f>
        <v>Surgery</v>
      </c>
      <c r="I315" t="s">
        <v>32</v>
      </c>
      <c r="J315" s="3">
        <v>557.70889999999997</v>
      </c>
      <c r="K315" t="s">
        <v>5</v>
      </c>
    </row>
    <row r="316" spans="1:11" x14ac:dyDescent="0.3">
      <c r="A316" s="4">
        <v>315</v>
      </c>
      <c r="B316" s="4">
        <v>98</v>
      </c>
      <c r="C316" s="4">
        <v>18</v>
      </c>
      <c r="D316" s="1" t="s">
        <v>244</v>
      </c>
      <c r="E316" s="1" t="s">
        <v>41</v>
      </c>
      <c r="F316" s="1" t="s">
        <v>61</v>
      </c>
      <c r="G316" s="2" t="s">
        <v>335</v>
      </c>
      <c r="H316" t="str">
        <f>_xlfn.XLOOKUP(Vet_Visits[[#This Row],[Charge_Code]],Charge_Reference!A:A,Charge_Reference!B:B)</f>
        <v>Radiographs</v>
      </c>
      <c r="I316" t="s">
        <v>51</v>
      </c>
      <c r="J316" s="3">
        <v>229.7696</v>
      </c>
      <c r="K316" t="s">
        <v>3</v>
      </c>
    </row>
    <row r="317" spans="1:11" x14ac:dyDescent="0.3">
      <c r="A317" s="4">
        <v>316</v>
      </c>
      <c r="B317" s="4">
        <v>117</v>
      </c>
      <c r="C317" s="4">
        <v>36</v>
      </c>
      <c r="D317" s="1" t="s">
        <v>99</v>
      </c>
      <c r="E317" s="1" t="s">
        <v>41</v>
      </c>
      <c r="F317" s="1" t="s">
        <v>57</v>
      </c>
      <c r="G317" s="2" t="s">
        <v>302</v>
      </c>
      <c r="H317" t="str">
        <f>_xlfn.XLOOKUP(Vet_Visits[[#This Row],[Charge_Code]],Charge_Reference!A:A,Charge_Reference!B:B)</f>
        <v>Annual Bloodwork</v>
      </c>
      <c r="I317" t="s">
        <v>40</v>
      </c>
      <c r="J317" s="3">
        <v>557.04489999999998</v>
      </c>
      <c r="K317" t="s">
        <v>5</v>
      </c>
    </row>
    <row r="318" spans="1:11" x14ac:dyDescent="0.3">
      <c r="A318" s="4">
        <v>317</v>
      </c>
      <c r="B318" s="4">
        <v>143</v>
      </c>
      <c r="C318" s="4">
        <v>83</v>
      </c>
      <c r="D318" s="1" t="s">
        <v>128</v>
      </c>
      <c r="E318" s="1" t="s">
        <v>41</v>
      </c>
      <c r="F318" s="1" t="s">
        <v>53</v>
      </c>
      <c r="G318" s="2" t="s">
        <v>110</v>
      </c>
      <c r="H318" t="str">
        <f>_xlfn.XLOOKUP(Vet_Visits[[#This Row],[Charge_Code]],Charge_Reference!A:A,Charge_Reference!B:B)</f>
        <v>Vaccination</v>
      </c>
      <c r="I318" t="s">
        <v>55</v>
      </c>
      <c r="J318" s="3">
        <v>-278.596</v>
      </c>
      <c r="K318" t="s">
        <v>5</v>
      </c>
    </row>
    <row r="319" spans="1:11" x14ac:dyDescent="0.3">
      <c r="A319" s="4">
        <v>318</v>
      </c>
      <c r="B319" s="4">
        <v>30</v>
      </c>
      <c r="C319" s="4">
        <v>121</v>
      </c>
      <c r="D319" s="1" t="s">
        <v>28</v>
      </c>
      <c r="E319" s="1" t="s">
        <v>29</v>
      </c>
      <c r="F319" s="1" t="s">
        <v>131</v>
      </c>
      <c r="G319" s="2" t="s">
        <v>336</v>
      </c>
      <c r="H319" t="str">
        <f>_xlfn.XLOOKUP(Vet_Visits[[#This Row],[Charge_Code]],Charge_Reference!A:A,Charge_Reference!B:B)</f>
        <v>Dental Cleaning</v>
      </c>
      <c r="I319" t="s">
        <v>47</v>
      </c>
      <c r="J319" s="3">
        <v>353.97919999999999</v>
      </c>
      <c r="K319" t="s">
        <v>3</v>
      </c>
    </row>
    <row r="320" spans="1:11" x14ac:dyDescent="0.3">
      <c r="A320" s="4">
        <v>319</v>
      </c>
      <c r="B320" s="4">
        <v>119</v>
      </c>
      <c r="C320" s="4">
        <v>135</v>
      </c>
      <c r="D320" s="1" t="s">
        <v>126</v>
      </c>
      <c r="E320" s="1" t="s">
        <v>29</v>
      </c>
      <c r="F320" s="1" t="s">
        <v>66</v>
      </c>
      <c r="G320" s="2" t="s">
        <v>255</v>
      </c>
      <c r="H320" t="str">
        <f>_xlfn.XLOOKUP(Vet_Visits[[#This Row],[Charge_Code]],Charge_Reference!A:A,Charge_Reference!B:B)</f>
        <v>Annual Bloodwork</v>
      </c>
      <c r="I320" t="s">
        <v>40</v>
      </c>
      <c r="J320" s="3">
        <v>433.38900000000001</v>
      </c>
      <c r="K320" t="s">
        <v>7</v>
      </c>
    </row>
    <row r="321" spans="1:11" x14ac:dyDescent="0.3">
      <c r="A321" s="4">
        <v>320</v>
      </c>
      <c r="B321" s="4">
        <v>138</v>
      </c>
      <c r="C321" s="4">
        <v>20</v>
      </c>
      <c r="D321" s="1" t="s">
        <v>37</v>
      </c>
      <c r="E321" s="1" t="s">
        <v>41</v>
      </c>
      <c r="F321" s="1" t="s">
        <v>151</v>
      </c>
      <c r="G321" s="2" t="s">
        <v>95</v>
      </c>
      <c r="H321" t="str">
        <f>_xlfn.XLOOKUP(Vet_Visits[[#This Row],[Charge_Code]],Charge_Reference!A:A,Charge_Reference!B:B)</f>
        <v>Radiographs</v>
      </c>
      <c r="I321" t="s">
        <v>51</v>
      </c>
      <c r="J321" s="3">
        <v>-151.85919999999999</v>
      </c>
      <c r="K321" t="s">
        <v>5</v>
      </c>
    </row>
    <row r="322" spans="1:11" x14ac:dyDescent="0.3">
      <c r="A322" s="4">
        <v>321</v>
      </c>
      <c r="B322" s="4">
        <v>17</v>
      </c>
      <c r="C322" s="4">
        <v>96</v>
      </c>
      <c r="D322" s="1" t="s">
        <v>220</v>
      </c>
      <c r="E322" s="1" t="s">
        <v>29</v>
      </c>
      <c r="F322" s="1" t="s">
        <v>107</v>
      </c>
      <c r="G322" s="2" t="s">
        <v>337</v>
      </c>
      <c r="H322" t="str">
        <f>_xlfn.XLOOKUP(Vet_Visits[[#This Row],[Charge_Code]],Charge_Reference!A:A,Charge_Reference!B:B)</f>
        <v>Radiographs</v>
      </c>
      <c r="I322" t="s">
        <v>51</v>
      </c>
      <c r="J322" s="3">
        <v>-1.8952</v>
      </c>
      <c r="K322" t="s">
        <v>7</v>
      </c>
    </row>
    <row r="323" spans="1:11" x14ac:dyDescent="0.3">
      <c r="A323" s="4">
        <v>322</v>
      </c>
      <c r="B323" s="4">
        <v>157</v>
      </c>
      <c r="C323" s="4">
        <v>25</v>
      </c>
      <c r="D323" s="1" t="s">
        <v>128</v>
      </c>
      <c r="E323" s="1" t="s">
        <v>29</v>
      </c>
      <c r="F323" s="1" t="s">
        <v>107</v>
      </c>
      <c r="G323" s="2" t="s">
        <v>336</v>
      </c>
      <c r="H323" t="str">
        <f>_xlfn.XLOOKUP(Vet_Visits[[#This Row],[Charge_Code]],Charge_Reference!A:A,Charge_Reference!B:B)</f>
        <v>Emergency Visit</v>
      </c>
      <c r="I323" t="s">
        <v>36</v>
      </c>
      <c r="J323" s="3">
        <v>974.86220000000003</v>
      </c>
      <c r="K323" t="s">
        <v>5</v>
      </c>
    </row>
    <row r="324" spans="1:11" x14ac:dyDescent="0.3">
      <c r="A324" s="4">
        <v>323</v>
      </c>
      <c r="B324" s="4">
        <v>16</v>
      </c>
      <c r="C324" s="4">
        <v>79</v>
      </c>
      <c r="D324" s="1" t="s">
        <v>44</v>
      </c>
      <c r="E324" s="1" t="s">
        <v>41</v>
      </c>
      <c r="F324" s="1" t="s">
        <v>160</v>
      </c>
      <c r="G324" s="2" t="s">
        <v>338</v>
      </c>
      <c r="H324" t="str">
        <f>_xlfn.XLOOKUP(Vet_Visits[[#This Row],[Charge_Code]],Charge_Reference!A:A,Charge_Reference!B:B)</f>
        <v>Nail Trim</v>
      </c>
      <c r="I324" t="s">
        <v>64</v>
      </c>
      <c r="J324" s="3">
        <v>76.698400000000007</v>
      </c>
      <c r="K324" t="s">
        <v>3</v>
      </c>
    </row>
    <row r="325" spans="1:11" x14ac:dyDescent="0.3">
      <c r="A325" s="4">
        <v>324</v>
      </c>
      <c r="B325" s="4">
        <v>10</v>
      </c>
      <c r="C325" s="4">
        <v>133</v>
      </c>
      <c r="D325" s="1" t="s">
        <v>230</v>
      </c>
      <c r="E325" s="1" t="s">
        <v>41</v>
      </c>
      <c r="F325" s="1" t="s">
        <v>171</v>
      </c>
      <c r="G325" s="2" t="s">
        <v>225</v>
      </c>
      <c r="H325" t="str">
        <f>_xlfn.XLOOKUP(Vet_Visits[[#This Row],[Charge_Code]],Charge_Reference!A:A,Charge_Reference!B:B)</f>
        <v>Surgery</v>
      </c>
      <c r="I325" t="s">
        <v>32</v>
      </c>
      <c r="J325" s="3">
        <v>103.9965</v>
      </c>
      <c r="K325" t="s">
        <v>7</v>
      </c>
    </row>
    <row r="326" spans="1:11" x14ac:dyDescent="0.3">
      <c r="A326" s="4">
        <v>325</v>
      </c>
      <c r="B326" s="4">
        <v>144</v>
      </c>
      <c r="C326" s="4">
        <v>31</v>
      </c>
      <c r="D326" s="1" t="s">
        <v>56</v>
      </c>
      <c r="E326" s="1" t="s">
        <v>41</v>
      </c>
      <c r="F326" s="1" t="s">
        <v>102</v>
      </c>
      <c r="G326" s="2" t="s">
        <v>153</v>
      </c>
      <c r="H326" t="str">
        <f>_xlfn.XLOOKUP(Vet_Visits[[#This Row],[Charge_Code]],Charge_Reference!A:A,Charge_Reference!B:B)</f>
        <v>Dental Cleaning</v>
      </c>
      <c r="I326" t="s">
        <v>47</v>
      </c>
      <c r="J326" s="3">
        <v>836.17790000000002</v>
      </c>
      <c r="K326" t="s">
        <v>5</v>
      </c>
    </row>
    <row r="327" spans="1:11" x14ac:dyDescent="0.3">
      <c r="A327" s="4">
        <v>326</v>
      </c>
      <c r="B327" s="4">
        <v>38</v>
      </c>
      <c r="C327" s="4">
        <v>102</v>
      </c>
      <c r="D327" s="1" t="s">
        <v>52</v>
      </c>
      <c r="E327" s="1" t="s">
        <v>29</v>
      </c>
      <c r="F327" s="1" t="s">
        <v>118</v>
      </c>
      <c r="G327" s="2" t="s">
        <v>339</v>
      </c>
      <c r="H327" t="str">
        <f>_xlfn.XLOOKUP(Vet_Visits[[#This Row],[Charge_Code]],Charge_Reference!A:A,Charge_Reference!B:B)</f>
        <v>Annual Bloodwork</v>
      </c>
      <c r="I327" t="s">
        <v>40</v>
      </c>
      <c r="J327" s="3">
        <v>812.47529999999995</v>
      </c>
      <c r="K327" t="s">
        <v>5</v>
      </c>
    </row>
    <row r="328" spans="1:11" x14ac:dyDescent="0.3">
      <c r="A328" s="4">
        <v>327</v>
      </c>
      <c r="B328" s="4">
        <v>99</v>
      </c>
      <c r="C328" s="4">
        <v>127</v>
      </c>
      <c r="D328" s="1" t="s">
        <v>37</v>
      </c>
      <c r="E328" s="1" t="s">
        <v>41</v>
      </c>
      <c r="F328" s="1" t="s">
        <v>49</v>
      </c>
      <c r="G328" s="2" t="s">
        <v>174</v>
      </c>
      <c r="H328" t="str">
        <f>_xlfn.XLOOKUP(Vet_Visits[[#This Row],[Charge_Code]],Charge_Reference!A:A,Charge_Reference!B:B)</f>
        <v>Radiographs</v>
      </c>
      <c r="I328" t="s">
        <v>51</v>
      </c>
      <c r="J328" s="3">
        <v>501.78390000000002</v>
      </c>
      <c r="K328" t="s">
        <v>3</v>
      </c>
    </row>
    <row r="329" spans="1:11" x14ac:dyDescent="0.3">
      <c r="A329" s="4">
        <v>328</v>
      </c>
      <c r="B329" s="4">
        <v>139</v>
      </c>
      <c r="C329" s="4">
        <v>45</v>
      </c>
      <c r="D329" s="1" t="s">
        <v>84</v>
      </c>
      <c r="E329" s="1" t="s">
        <v>29</v>
      </c>
      <c r="F329" s="1" t="s">
        <v>94</v>
      </c>
      <c r="G329" s="2" t="s">
        <v>62</v>
      </c>
      <c r="H329" t="str">
        <f>_xlfn.XLOOKUP(Vet_Visits[[#This Row],[Charge_Code]],Charge_Reference!A:A,Charge_Reference!B:B)</f>
        <v>Office Visit</v>
      </c>
      <c r="I329" t="s">
        <v>59</v>
      </c>
      <c r="J329" s="3">
        <v>-116.2628</v>
      </c>
      <c r="K329" t="s">
        <v>5</v>
      </c>
    </row>
    <row r="330" spans="1:11" x14ac:dyDescent="0.3">
      <c r="A330" s="4">
        <v>329</v>
      </c>
      <c r="B330" s="4">
        <v>27</v>
      </c>
      <c r="C330" s="4">
        <v>142</v>
      </c>
      <c r="D330" s="1" t="s">
        <v>65</v>
      </c>
      <c r="E330" s="1" t="s">
        <v>29</v>
      </c>
      <c r="F330" s="1" t="s">
        <v>145</v>
      </c>
      <c r="G330" s="2" t="s">
        <v>302</v>
      </c>
      <c r="H330" t="str">
        <f>_xlfn.XLOOKUP(Vet_Visits[[#This Row],[Charge_Code]],Charge_Reference!A:A,Charge_Reference!B:B)</f>
        <v>Emergency Visit</v>
      </c>
      <c r="I330" t="s">
        <v>36</v>
      </c>
      <c r="J330" s="3">
        <v>200.91300000000001</v>
      </c>
      <c r="K330" t="s">
        <v>5</v>
      </c>
    </row>
    <row r="331" spans="1:11" x14ac:dyDescent="0.3">
      <c r="A331" s="4">
        <v>330</v>
      </c>
      <c r="B331" s="4">
        <v>190</v>
      </c>
      <c r="C331" s="4">
        <v>110</v>
      </c>
      <c r="D331" s="1" t="s">
        <v>109</v>
      </c>
      <c r="E331" s="1" t="s">
        <v>41</v>
      </c>
      <c r="F331" s="1" t="s">
        <v>94</v>
      </c>
      <c r="G331" s="2" t="s">
        <v>340</v>
      </c>
      <c r="H331" t="str">
        <f>_xlfn.XLOOKUP(Vet_Visits[[#This Row],[Charge_Code]],Charge_Reference!A:A,Charge_Reference!B:B)</f>
        <v>Surgery</v>
      </c>
      <c r="I331" t="s">
        <v>32</v>
      </c>
      <c r="J331" s="3">
        <v>532.35450000000003</v>
      </c>
      <c r="K331" t="s">
        <v>7</v>
      </c>
    </row>
    <row r="332" spans="1:11" x14ac:dyDescent="0.3">
      <c r="A332" s="4">
        <v>331</v>
      </c>
      <c r="B332" s="4">
        <v>79</v>
      </c>
      <c r="C332" s="4">
        <v>37</v>
      </c>
      <c r="D332" s="1" t="s">
        <v>214</v>
      </c>
      <c r="E332" s="1" t="s">
        <v>41</v>
      </c>
      <c r="F332" s="1" t="s">
        <v>30</v>
      </c>
      <c r="G332" s="2" t="s">
        <v>331</v>
      </c>
      <c r="H332" t="str">
        <f>_xlfn.XLOOKUP(Vet_Visits[[#This Row],[Charge_Code]],Charge_Reference!A:A,Charge_Reference!B:B)</f>
        <v>Radiographs</v>
      </c>
      <c r="I332" t="s">
        <v>51</v>
      </c>
      <c r="J332" s="3">
        <v>648.24480000000005</v>
      </c>
      <c r="K332" t="s">
        <v>5</v>
      </c>
    </row>
    <row r="333" spans="1:11" x14ac:dyDescent="0.3">
      <c r="A333" s="4">
        <v>332</v>
      </c>
      <c r="B333" s="4">
        <v>191</v>
      </c>
      <c r="C333" s="4">
        <v>107</v>
      </c>
      <c r="D333" s="1" t="s">
        <v>130</v>
      </c>
      <c r="E333" s="1" t="s">
        <v>29</v>
      </c>
      <c r="F333" s="1" t="s">
        <v>111</v>
      </c>
      <c r="G333" s="2" t="s">
        <v>341</v>
      </c>
      <c r="H333" t="str">
        <f>_xlfn.XLOOKUP(Vet_Visits[[#This Row],[Charge_Code]],Charge_Reference!A:A,Charge_Reference!B:B)</f>
        <v>Dental Cleaning</v>
      </c>
      <c r="I333" t="s">
        <v>47</v>
      </c>
      <c r="J333" s="3">
        <v>358.57369999999997</v>
      </c>
      <c r="K333" t="s">
        <v>3</v>
      </c>
    </row>
    <row r="334" spans="1:11" x14ac:dyDescent="0.3">
      <c r="A334" s="4">
        <v>333</v>
      </c>
      <c r="B334" s="4">
        <v>175</v>
      </c>
      <c r="C334" s="4">
        <v>28</v>
      </c>
      <c r="D334" s="1" t="s">
        <v>81</v>
      </c>
      <c r="E334" s="1" t="s">
        <v>29</v>
      </c>
      <c r="F334" s="1" t="s">
        <v>66</v>
      </c>
      <c r="G334" s="2" t="s">
        <v>203</v>
      </c>
      <c r="H334" t="str">
        <f>_xlfn.XLOOKUP(Vet_Visits[[#This Row],[Charge_Code]],Charge_Reference!A:A,Charge_Reference!B:B)</f>
        <v>Annual Bloodwork</v>
      </c>
      <c r="I334" t="s">
        <v>40</v>
      </c>
      <c r="J334" s="3">
        <v>574.57420000000002</v>
      </c>
      <c r="K334" t="s">
        <v>5</v>
      </c>
    </row>
    <row r="335" spans="1:11" x14ac:dyDescent="0.3">
      <c r="A335" s="4">
        <v>334</v>
      </c>
      <c r="B335" s="4">
        <v>26</v>
      </c>
      <c r="C335" s="4">
        <v>81</v>
      </c>
      <c r="D335" s="1" t="s">
        <v>185</v>
      </c>
      <c r="E335" s="1" t="s">
        <v>29</v>
      </c>
      <c r="F335" s="1" t="s">
        <v>94</v>
      </c>
      <c r="G335" s="2" t="s">
        <v>129</v>
      </c>
      <c r="H335" t="str">
        <f>_xlfn.XLOOKUP(Vet_Visits[[#This Row],[Charge_Code]],Charge_Reference!A:A,Charge_Reference!B:B)</f>
        <v>Emergency Visit</v>
      </c>
      <c r="I335" t="s">
        <v>36</v>
      </c>
      <c r="J335" s="3">
        <v>387.77409999999998</v>
      </c>
      <c r="K335" t="s">
        <v>3</v>
      </c>
    </row>
    <row r="336" spans="1:11" x14ac:dyDescent="0.3">
      <c r="A336" s="4">
        <v>335</v>
      </c>
      <c r="B336" s="4">
        <v>65</v>
      </c>
      <c r="C336" s="4">
        <v>103</v>
      </c>
      <c r="D336" s="1" t="s">
        <v>60</v>
      </c>
      <c r="E336" s="1" t="s">
        <v>29</v>
      </c>
      <c r="F336" s="1" t="s">
        <v>57</v>
      </c>
      <c r="G336" s="2" t="s">
        <v>136</v>
      </c>
      <c r="H336" t="str">
        <f>_xlfn.XLOOKUP(Vet_Visits[[#This Row],[Charge_Code]],Charge_Reference!A:A,Charge_Reference!B:B)</f>
        <v>Emergency Visit</v>
      </c>
      <c r="I336" t="s">
        <v>36</v>
      </c>
      <c r="J336" s="3">
        <v>939.76189999999997</v>
      </c>
      <c r="K336" t="s">
        <v>5</v>
      </c>
    </row>
    <row r="337" spans="1:11" x14ac:dyDescent="0.3">
      <c r="A337" s="4">
        <v>336</v>
      </c>
      <c r="B337" s="4">
        <v>19</v>
      </c>
      <c r="C337" s="4">
        <v>81</v>
      </c>
      <c r="D337" s="1" t="s">
        <v>115</v>
      </c>
      <c r="E337" s="1" t="s">
        <v>29</v>
      </c>
      <c r="F337" s="1" t="s">
        <v>87</v>
      </c>
      <c r="G337" s="2" t="s">
        <v>342</v>
      </c>
      <c r="H337" t="str">
        <f>_xlfn.XLOOKUP(Vet_Visits[[#This Row],[Charge_Code]],Charge_Reference!A:A,Charge_Reference!B:B)</f>
        <v>Emergency Visit</v>
      </c>
      <c r="I337" t="s">
        <v>36</v>
      </c>
      <c r="J337" s="3">
        <v>569.54459999999995</v>
      </c>
      <c r="K337" t="s">
        <v>3</v>
      </c>
    </row>
    <row r="338" spans="1:11" x14ac:dyDescent="0.3">
      <c r="A338" s="4">
        <v>337</v>
      </c>
      <c r="B338" s="4">
        <v>119</v>
      </c>
      <c r="C338" s="4">
        <v>51</v>
      </c>
      <c r="D338" s="1" t="s">
        <v>37</v>
      </c>
      <c r="E338" s="1" t="s">
        <v>41</v>
      </c>
      <c r="F338" s="1" t="s">
        <v>171</v>
      </c>
      <c r="G338" s="2" t="s">
        <v>334</v>
      </c>
      <c r="H338" t="str">
        <f>_xlfn.XLOOKUP(Vet_Visits[[#This Row],[Charge_Code]],Charge_Reference!A:A,Charge_Reference!B:B)</f>
        <v>Radiographs</v>
      </c>
      <c r="I338" t="s">
        <v>51</v>
      </c>
      <c r="J338" s="3">
        <v>833.15509999999995</v>
      </c>
      <c r="K338" t="s">
        <v>5</v>
      </c>
    </row>
    <row r="339" spans="1:11" x14ac:dyDescent="0.3">
      <c r="A339" s="4">
        <v>338</v>
      </c>
      <c r="B339" s="4">
        <v>28</v>
      </c>
      <c r="C339" s="4">
        <v>71</v>
      </c>
      <c r="D339" s="1" t="s">
        <v>37</v>
      </c>
      <c r="E339" s="1" t="s">
        <v>29</v>
      </c>
      <c r="F339" s="1" t="s">
        <v>111</v>
      </c>
      <c r="G339" s="2" t="s">
        <v>238</v>
      </c>
      <c r="H339" t="str">
        <f>_xlfn.XLOOKUP(Vet_Visits[[#This Row],[Charge_Code]],Charge_Reference!A:A,Charge_Reference!B:B)</f>
        <v>Dental Cleaning</v>
      </c>
      <c r="I339" t="s">
        <v>47</v>
      </c>
      <c r="J339" s="3">
        <v>947.57910000000004</v>
      </c>
      <c r="K339" t="s">
        <v>5</v>
      </c>
    </row>
    <row r="340" spans="1:11" x14ac:dyDescent="0.3">
      <c r="A340" s="4">
        <v>339</v>
      </c>
      <c r="B340" s="4">
        <v>22</v>
      </c>
      <c r="C340" s="4">
        <v>143</v>
      </c>
      <c r="D340" s="1" t="s">
        <v>93</v>
      </c>
      <c r="E340" s="1" t="s">
        <v>29</v>
      </c>
      <c r="F340" s="1" t="s">
        <v>145</v>
      </c>
      <c r="G340" s="2" t="s">
        <v>343</v>
      </c>
      <c r="H340" t="str">
        <f>_xlfn.XLOOKUP(Vet_Visits[[#This Row],[Charge_Code]],Charge_Reference!A:A,Charge_Reference!B:B)</f>
        <v>Dental Cleaning</v>
      </c>
      <c r="I340" t="s">
        <v>47</v>
      </c>
      <c r="J340" s="3">
        <v>-194.9599</v>
      </c>
      <c r="K340" t="s">
        <v>5</v>
      </c>
    </row>
    <row r="341" spans="1:11" x14ac:dyDescent="0.3">
      <c r="A341" s="4">
        <v>340</v>
      </c>
      <c r="B341" s="4">
        <v>189</v>
      </c>
      <c r="C341" s="4">
        <v>103</v>
      </c>
      <c r="D341" s="1" t="s">
        <v>115</v>
      </c>
      <c r="E341" s="1" t="s">
        <v>41</v>
      </c>
      <c r="F341" s="1" t="s">
        <v>87</v>
      </c>
      <c r="G341" s="2" t="s">
        <v>161</v>
      </c>
      <c r="H341" t="str">
        <f>_xlfn.XLOOKUP(Vet_Visits[[#This Row],[Charge_Code]],Charge_Reference!A:A,Charge_Reference!B:B)</f>
        <v>Surgery</v>
      </c>
      <c r="I341" t="s">
        <v>32</v>
      </c>
      <c r="J341" s="3">
        <v>857.34169999999995</v>
      </c>
      <c r="K341" t="s">
        <v>5</v>
      </c>
    </row>
    <row r="342" spans="1:11" x14ac:dyDescent="0.3">
      <c r="A342" s="4">
        <v>341</v>
      </c>
      <c r="B342" s="4">
        <v>48</v>
      </c>
      <c r="C342" s="4">
        <v>46</v>
      </c>
      <c r="D342" s="1" t="s">
        <v>191</v>
      </c>
      <c r="E342" s="1" t="s">
        <v>29</v>
      </c>
      <c r="F342" s="1" t="s">
        <v>102</v>
      </c>
      <c r="G342" s="2" t="s">
        <v>344</v>
      </c>
      <c r="H342" t="str">
        <f>_xlfn.XLOOKUP(Vet_Visits[[#This Row],[Charge_Code]],Charge_Reference!A:A,Charge_Reference!B:B)</f>
        <v>Dental Cleaning</v>
      </c>
      <c r="I342" t="s">
        <v>47</v>
      </c>
      <c r="J342" s="3">
        <v>967.34190000000001</v>
      </c>
      <c r="K342" t="s">
        <v>7</v>
      </c>
    </row>
    <row r="343" spans="1:11" x14ac:dyDescent="0.3">
      <c r="A343" s="4">
        <v>342</v>
      </c>
      <c r="B343" s="4">
        <v>40</v>
      </c>
      <c r="C343" s="4">
        <v>73</v>
      </c>
      <c r="D343" s="1" t="s">
        <v>147</v>
      </c>
      <c r="E343" s="1" t="s">
        <v>29</v>
      </c>
      <c r="F343" s="1" t="s">
        <v>49</v>
      </c>
      <c r="G343" s="2" t="s">
        <v>270</v>
      </c>
      <c r="H343" t="str">
        <f>_xlfn.XLOOKUP(Vet_Visits[[#This Row],[Charge_Code]],Charge_Reference!A:A,Charge_Reference!B:B)</f>
        <v>Dental Cleaning</v>
      </c>
      <c r="I343" t="s">
        <v>47</v>
      </c>
      <c r="J343" s="3">
        <v>5.3227000000000002</v>
      </c>
      <c r="K343" t="s">
        <v>3</v>
      </c>
    </row>
    <row r="344" spans="1:11" x14ac:dyDescent="0.3">
      <c r="A344" s="4">
        <v>343</v>
      </c>
      <c r="B344" s="4">
        <v>99</v>
      </c>
      <c r="C344" s="4">
        <v>101</v>
      </c>
      <c r="D344" s="1" t="s">
        <v>139</v>
      </c>
      <c r="E344" s="1" t="s">
        <v>41</v>
      </c>
      <c r="F344" s="1" t="s">
        <v>118</v>
      </c>
      <c r="G344" s="2" t="s">
        <v>345</v>
      </c>
      <c r="H344" t="str">
        <f>_xlfn.XLOOKUP(Vet_Visits[[#This Row],[Charge_Code]],Charge_Reference!A:A,Charge_Reference!B:B)</f>
        <v>Office Visit</v>
      </c>
      <c r="I344" t="s">
        <v>59</v>
      </c>
      <c r="J344" s="3">
        <v>-44.123600000000003</v>
      </c>
      <c r="K344" t="s">
        <v>7</v>
      </c>
    </row>
    <row r="345" spans="1:11" x14ac:dyDescent="0.3">
      <c r="A345" s="4">
        <v>344</v>
      </c>
      <c r="B345" s="4">
        <v>176</v>
      </c>
      <c r="C345" s="4">
        <v>111</v>
      </c>
      <c r="D345" s="1" t="s">
        <v>78</v>
      </c>
      <c r="E345" s="1" t="s">
        <v>41</v>
      </c>
      <c r="F345" s="1" t="s">
        <v>71</v>
      </c>
      <c r="G345" s="2" t="s">
        <v>346</v>
      </c>
      <c r="H345" t="str">
        <f>_xlfn.XLOOKUP(Vet_Visits[[#This Row],[Charge_Code]],Charge_Reference!A:A,Charge_Reference!B:B)</f>
        <v>Radiographs</v>
      </c>
      <c r="I345" t="s">
        <v>51</v>
      </c>
      <c r="J345" s="3">
        <v>-22.728400000000001</v>
      </c>
      <c r="K345" t="s">
        <v>7</v>
      </c>
    </row>
    <row r="346" spans="1:11" x14ac:dyDescent="0.3">
      <c r="A346" s="4">
        <v>345</v>
      </c>
      <c r="B346" s="4">
        <v>182</v>
      </c>
      <c r="C346" s="4">
        <v>6</v>
      </c>
      <c r="D346" s="1" t="s">
        <v>179</v>
      </c>
      <c r="E346" s="1" t="s">
        <v>29</v>
      </c>
      <c r="F346" s="1" t="s">
        <v>104</v>
      </c>
      <c r="G346" s="2" t="s">
        <v>39</v>
      </c>
      <c r="H346" t="str">
        <f>_xlfn.XLOOKUP(Vet_Visits[[#This Row],[Charge_Code]],Charge_Reference!A:A,Charge_Reference!B:B)</f>
        <v>Dental Cleaning</v>
      </c>
      <c r="I346" t="s">
        <v>47</v>
      </c>
      <c r="J346" s="3">
        <v>-89.726699999999994</v>
      </c>
      <c r="K346" t="s">
        <v>7</v>
      </c>
    </row>
    <row r="347" spans="1:11" x14ac:dyDescent="0.3">
      <c r="A347" s="4">
        <v>346</v>
      </c>
      <c r="B347" s="4">
        <v>182</v>
      </c>
      <c r="C347" s="4">
        <v>114</v>
      </c>
      <c r="D347" s="1" t="s">
        <v>70</v>
      </c>
      <c r="E347" s="1" t="s">
        <v>29</v>
      </c>
      <c r="F347" s="1" t="s">
        <v>151</v>
      </c>
      <c r="G347" s="2" t="s">
        <v>63</v>
      </c>
      <c r="H347" t="str">
        <f>_xlfn.XLOOKUP(Vet_Visits[[#This Row],[Charge_Code]],Charge_Reference!A:A,Charge_Reference!B:B)</f>
        <v>Nail Trim</v>
      </c>
      <c r="I347" t="s">
        <v>64</v>
      </c>
      <c r="J347" s="3">
        <v>-38.319600000000001</v>
      </c>
      <c r="K347" t="s">
        <v>5</v>
      </c>
    </row>
    <row r="348" spans="1:11" x14ac:dyDescent="0.3">
      <c r="A348" s="4">
        <v>347</v>
      </c>
      <c r="B348" s="4">
        <v>136</v>
      </c>
      <c r="C348" s="4">
        <v>101</v>
      </c>
      <c r="D348" s="1" t="s">
        <v>211</v>
      </c>
      <c r="E348" s="1" t="s">
        <v>29</v>
      </c>
      <c r="F348" s="1" t="s">
        <v>94</v>
      </c>
      <c r="G348" s="2" t="s">
        <v>332</v>
      </c>
      <c r="H348" t="str">
        <f>_xlfn.XLOOKUP(Vet_Visits[[#This Row],[Charge_Code]],Charge_Reference!A:A,Charge_Reference!B:B)</f>
        <v>Annual Bloodwork</v>
      </c>
      <c r="I348" t="s">
        <v>40</v>
      </c>
      <c r="J348" s="3">
        <v>22.7257</v>
      </c>
      <c r="K348" t="s">
        <v>3</v>
      </c>
    </row>
    <row r="349" spans="1:11" x14ac:dyDescent="0.3">
      <c r="A349" s="4">
        <v>348</v>
      </c>
      <c r="B349" s="4">
        <v>126</v>
      </c>
      <c r="C349" s="4">
        <v>105</v>
      </c>
      <c r="D349" s="1" t="s">
        <v>244</v>
      </c>
      <c r="E349" s="1" t="s">
        <v>29</v>
      </c>
      <c r="F349" s="1" t="s">
        <v>131</v>
      </c>
      <c r="G349" s="2" t="s">
        <v>228</v>
      </c>
      <c r="H349" t="str">
        <f>_xlfn.XLOOKUP(Vet_Visits[[#This Row],[Charge_Code]],Charge_Reference!A:A,Charge_Reference!B:B)</f>
        <v>Radiographs</v>
      </c>
      <c r="I349" t="s">
        <v>51</v>
      </c>
      <c r="J349" s="3">
        <v>448.85390000000001</v>
      </c>
      <c r="K349" t="s">
        <v>5</v>
      </c>
    </row>
    <row r="350" spans="1:11" x14ac:dyDescent="0.3">
      <c r="A350" s="4">
        <v>349</v>
      </c>
      <c r="B350" s="4">
        <v>112</v>
      </c>
      <c r="C350" s="4">
        <v>57</v>
      </c>
      <c r="D350" s="1" t="s">
        <v>33</v>
      </c>
      <c r="E350" s="1" t="s">
        <v>29</v>
      </c>
      <c r="F350" s="1" t="s">
        <v>49</v>
      </c>
      <c r="G350" s="2" t="s">
        <v>159</v>
      </c>
      <c r="H350" t="str">
        <f>_xlfn.XLOOKUP(Vet_Visits[[#This Row],[Charge_Code]],Charge_Reference!A:A,Charge_Reference!B:B)</f>
        <v>Radiographs</v>
      </c>
      <c r="I350" t="s">
        <v>51</v>
      </c>
      <c r="J350" s="3">
        <v>575.71450000000004</v>
      </c>
      <c r="K350" t="s">
        <v>5</v>
      </c>
    </row>
    <row r="351" spans="1:11" x14ac:dyDescent="0.3">
      <c r="A351" s="4">
        <v>350</v>
      </c>
      <c r="B351" s="4">
        <v>179</v>
      </c>
      <c r="C351" s="4">
        <v>58</v>
      </c>
      <c r="D351" s="1" t="s">
        <v>183</v>
      </c>
      <c r="E351" s="1" t="s">
        <v>29</v>
      </c>
      <c r="F351" s="1" t="s">
        <v>97</v>
      </c>
      <c r="G351" s="2" t="s">
        <v>286</v>
      </c>
      <c r="H351" t="str">
        <f>_xlfn.XLOOKUP(Vet_Visits[[#This Row],[Charge_Code]],Charge_Reference!A:A,Charge_Reference!B:B)</f>
        <v>Nail Trim</v>
      </c>
      <c r="I351" t="s">
        <v>64</v>
      </c>
      <c r="J351" s="3">
        <v>252.13980000000001</v>
      </c>
      <c r="K351" t="s">
        <v>7</v>
      </c>
    </row>
    <row r="352" spans="1:11" x14ac:dyDescent="0.3">
      <c r="A352" s="4">
        <v>351</v>
      </c>
      <c r="B352" s="4">
        <v>30</v>
      </c>
      <c r="C352" s="4">
        <v>38</v>
      </c>
      <c r="D352" s="1" t="s">
        <v>183</v>
      </c>
      <c r="E352" s="1" t="s">
        <v>41</v>
      </c>
      <c r="F352" s="1" t="s">
        <v>116</v>
      </c>
      <c r="G352" s="2" t="s">
        <v>228</v>
      </c>
      <c r="H352" t="str">
        <f>_xlfn.XLOOKUP(Vet_Visits[[#This Row],[Charge_Code]],Charge_Reference!A:A,Charge_Reference!B:B)</f>
        <v>Surgery</v>
      </c>
      <c r="I352" t="s">
        <v>32</v>
      </c>
      <c r="J352" s="3">
        <v>705.02329999999995</v>
      </c>
      <c r="K352" t="s">
        <v>5</v>
      </c>
    </row>
    <row r="353" spans="1:11" x14ac:dyDescent="0.3">
      <c r="A353" s="4">
        <v>352</v>
      </c>
      <c r="B353" s="4">
        <v>197</v>
      </c>
      <c r="C353" s="4">
        <v>15</v>
      </c>
      <c r="D353" s="1" t="s">
        <v>130</v>
      </c>
      <c r="E353" s="1" t="s">
        <v>29</v>
      </c>
      <c r="F353" s="1" t="s">
        <v>87</v>
      </c>
      <c r="G353" s="2" t="s">
        <v>347</v>
      </c>
      <c r="H353" t="str">
        <f>_xlfn.XLOOKUP(Vet_Visits[[#This Row],[Charge_Code]],Charge_Reference!A:A,Charge_Reference!B:B)</f>
        <v>Surgery</v>
      </c>
      <c r="I353" t="s">
        <v>32</v>
      </c>
      <c r="J353" s="3">
        <v>349.93860000000001</v>
      </c>
      <c r="K353" t="s">
        <v>5</v>
      </c>
    </row>
    <row r="354" spans="1:11" x14ac:dyDescent="0.3">
      <c r="A354" s="4">
        <v>353</v>
      </c>
      <c r="B354" s="4">
        <v>94</v>
      </c>
      <c r="C354" s="4">
        <v>119</v>
      </c>
      <c r="D354" s="1" t="s">
        <v>101</v>
      </c>
      <c r="E354" s="1" t="s">
        <v>41</v>
      </c>
      <c r="F354" s="1" t="s">
        <v>135</v>
      </c>
      <c r="G354" s="2" t="s">
        <v>234</v>
      </c>
      <c r="H354" t="str">
        <f>_xlfn.XLOOKUP(Vet_Visits[[#This Row],[Charge_Code]],Charge_Reference!A:A,Charge_Reference!B:B)</f>
        <v>Surgery</v>
      </c>
      <c r="I354" t="s">
        <v>32</v>
      </c>
      <c r="J354" s="3">
        <v>-154.66380000000001</v>
      </c>
      <c r="K354" t="s">
        <v>5</v>
      </c>
    </row>
    <row r="355" spans="1:11" x14ac:dyDescent="0.3">
      <c r="A355" s="4">
        <v>354</v>
      </c>
      <c r="B355" s="4">
        <v>139</v>
      </c>
      <c r="C355" s="4">
        <v>20</v>
      </c>
      <c r="D355" s="1" t="s">
        <v>99</v>
      </c>
      <c r="E355" s="1" t="s">
        <v>29</v>
      </c>
      <c r="F355" s="1" t="s">
        <v>171</v>
      </c>
      <c r="G355" s="2" t="s">
        <v>273</v>
      </c>
      <c r="H355" t="str">
        <f>_xlfn.XLOOKUP(Vet_Visits[[#This Row],[Charge_Code]],Charge_Reference!A:A,Charge_Reference!B:B)</f>
        <v>Emergency Visit</v>
      </c>
      <c r="I355" t="s">
        <v>36</v>
      </c>
      <c r="J355" s="3">
        <v>876.29039999999998</v>
      </c>
      <c r="K355" t="s">
        <v>5</v>
      </c>
    </row>
    <row r="356" spans="1:11" x14ac:dyDescent="0.3">
      <c r="A356" s="4">
        <v>355</v>
      </c>
      <c r="B356" s="4">
        <v>25</v>
      </c>
      <c r="C356" s="4">
        <v>110</v>
      </c>
      <c r="D356" s="1" t="s">
        <v>194</v>
      </c>
      <c r="E356" s="1" t="s">
        <v>29</v>
      </c>
      <c r="F356" s="1" t="s">
        <v>94</v>
      </c>
      <c r="G356" s="2" t="s">
        <v>223</v>
      </c>
      <c r="H356" t="str">
        <f>_xlfn.XLOOKUP(Vet_Visits[[#This Row],[Charge_Code]],Charge_Reference!A:A,Charge_Reference!B:B)</f>
        <v>Radiographs</v>
      </c>
      <c r="I356" t="s">
        <v>51</v>
      </c>
      <c r="J356" s="3">
        <v>732.15030000000002</v>
      </c>
      <c r="K356" t="s">
        <v>3</v>
      </c>
    </row>
    <row r="357" spans="1:11" x14ac:dyDescent="0.3">
      <c r="A357" s="4">
        <v>356</v>
      </c>
      <c r="B357" s="4">
        <v>149</v>
      </c>
      <c r="C357" s="4">
        <v>35</v>
      </c>
      <c r="D357" s="1" t="s">
        <v>101</v>
      </c>
      <c r="E357" s="1" t="s">
        <v>41</v>
      </c>
      <c r="F357" s="1" t="s">
        <v>131</v>
      </c>
      <c r="G357" s="2" t="s">
        <v>148</v>
      </c>
      <c r="H357" t="str">
        <f>_xlfn.XLOOKUP(Vet_Visits[[#This Row],[Charge_Code]],Charge_Reference!A:A,Charge_Reference!B:B)</f>
        <v>Dental Cleaning</v>
      </c>
      <c r="I357" t="s">
        <v>47</v>
      </c>
      <c r="J357" s="3">
        <v>-293.40989999999999</v>
      </c>
      <c r="K357" t="s">
        <v>5</v>
      </c>
    </row>
    <row r="358" spans="1:11" x14ac:dyDescent="0.3">
      <c r="A358" s="4">
        <v>357</v>
      </c>
      <c r="B358" s="4">
        <v>31</v>
      </c>
      <c r="C358" s="4">
        <v>18</v>
      </c>
      <c r="D358" s="1" t="s">
        <v>158</v>
      </c>
      <c r="E358" s="1" t="s">
        <v>29</v>
      </c>
      <c r="F358" s="1" t="s">
        <v>38</v>
      </c>
      <c r="G358" s="2" t="s">
        <v>157</v>
      </c>
      <c r="H358" t="str">
        <f>_xlfn.XLOOKUP(Vet_Visits[[#This Row],[Charge_Code]],Charge_Reference!A:A,Charge_Reference!B:B)</f>
        <v>Radiographs</v>
      </c>
      <c r="I358" t="s">
        <v>51</v>
      </c>
      <c r="J358" s="3">
        <v>418.36950000000002</v>
      </c>
      <c r="K358" t="s">
        <v>7</v>
      </c>
    </row>
    <row r="359" spans="1:11" x14ac:dyDescent="0.3">
      <c r="A359" s="4">
        <v>358</v>
      </c>
      <c r="B359" s="4">
        <v>138</v>
      </c>
      <c r="C359" s="4">
        <v>7</v>
      </c>
      <c r="D359" s="1" t="s">
        <v>230</v>
      </c>
      <c r="E359" s="1" t="s">
        <v>29</v>
      </c>
      <c r="F359" s="1" t="s">
        <v>42</v>
      </c>
      <c r="G359" s="2" t="s">
        <v>129</v>
      </c>
      <c r="H359" t="str">
        <f>_xlfn.XLOOKUP(Vet_Visits[[#This Row],[Charge_Code]],Charge_Reference!A:A,Charge_Reference!B:B)</f>
        <v>Radiographs</v>
      </c>
      <c r="I359" t="s">
        <v>51</v>
      </c>
      <c r="J359" s="3">
        <v>-117.49</v>
      </c>
      <c r="K359" t="s">
        <v>3</v>
      </c>
    </row>
    <row r="360" spans="1:11" x14ac:dyDescent="0.3">
      <c r="A360" s="4">
        <v>359</v>
      </c>
      <c r="B360" s="4">
        <v>169</v>
      </c>
      <c r="C360" s="4">
        <v>86</v>
      </c>
      <c r="D360" s="1" t="s">
        <v>194</v>
      </c>
      <c r="E360" s="1" t="s">
        <v>41</v>
      </c>
      <c r="F360" s="1" t="s">
        <v>107</v>
      </c>
      <c r="G360" s="2" t="s">
        <v>348</v>
      </c>
      <c r="H360" t="str">
        <f>_xlfn.XLOOKUP(Vet_Visits[[#This Row],[Charge_Code]],Charge_Reference!A:A,Charge_Reference!B:B)</f>
        <v>Dental Cleaning</v>
      </c>
      <c r="I360" t="s">
        <v>47</v>
      </c>
      <c r="J360" s="3">
        <v>932.58219999999994</v>
      </c>
      <c r="K360" t="s">
        <v>5</v>
      </c>
    </row>
    <row r="361" spans="1:11" x14ac:dyDescent="0.3">
      <c r="A361" s="4">
        <v>360</v>
      </c>
      <c r="B361" s="4">
        <v>43</v>
      </c>
      <c r="C361" s="4">
        <v>105</v>
      </c>
      <c r="D361" s="1" t="s">
        <v>154</v>
      </c>
      <c r="E361" s="1" t="s">
        <v>41</v>
      </c>
      <c r="F361" s="1" t="s">
        <v>53</v>
      </c>
      <c r="G361" s="2" t="s">
        <v>269</v>
      </c>
      <c r="H361" t="str">
        <f>_xlfn.XLOOKUP(Vet_Visits[[#This Row],[Charge_Code]],Charge_Reference!A:A,Charge_Reference!B:B)</f>
        <v>Office Visit</v>
      </c>
      <c r="I361" t="s">
        <v>59</v>
      </c>
      <c r="J361" s="3">
        <v>731.59640000000002</v>
      </c>
      <c r="K361" t="s">
        <v>7</v>
      </c>
    </row>
    <row r="362" spans="1:11" x14ac:dyDescent="0.3">
      <c r="A362" s="4">
        <v>361</v>
      </c>
      <c r="B362" s="4">
        <v>36</v>
      </c>
      <c r="C362" s="4">
        <v>110</v>
      </c>
      <c r="D362" s="1" t="s">
        <v>139</v>
      </c>
      <c r="E362" s="1" t="s">
        <v>29</v>
      </c>
      <c r="F362" s="1" t="s">
        <v>94</v>
      </c>
      <c r="G362" s="2" t="s">
        <v>173</v>
      </c>
      <c r="H362" t="str">
        <f>_xlfn.XLOOKUP(Vet_Visits[[#This Row],[Charge_Code]],Charge_Reference!A:A,Charge_Reference!B:B)</f>
        <v>Radiographs</v>
      </c>
      <c r="I362" t="s">
        <v>51</v>
      </c>
      <c r="J362" s="3">
        <v>-279.35340000000002</v>
      </c>
      <c r="K362" t="s">
        <v>5</v>
      </c>
    </row>
    <row r="363" spans="1:11" x14ac:dyDescent="0.3">
      <c r="A363" s="4">
        <v>362</v>
      </c>
      <c r="B363" s="4">
        <v>127</v>
      </c>
      <c r="C363" s="4">
        <v>10</v>
      </c>
      <c r="D363" s="1" t="s">
        <v>96</v>
      </c>
      <c r="E363" s="1" t="s">
        <v>41</v>
      </c>
      <c r="F363" s="1" t="s">
        <v>171</v>
      </c>
      <c r="G363" s="2" t="s">
        <v>349</v>
      </c>
      <c r="H363" t="str">
        <f>_xlfn.XLOOKUP(Vet_Visits[[#This Row],[Charge_Code]],Charge_Reference!A:A,Charge_Reference!B:B)</f>
        <v>Emergency Visit</v>
      </c>
      <c r="I363" t="s">
        <v>36</v>
      </c>
      <c r="J363" s="3">
        <v>-167.70580000000001</v>
      </c>
      <c r="K363" t="s">
        <v>3</v>
      </c>
    </row>
    <row r="364" spans="1:11" x14ac:dyDescent="0.3">
      <c r="A364" s="4">
        <v>363</v>
      </c>
      <c r="B364" s="4">
        <v>48</v>
      </c>
      <c r="C364" s="4">
        <v>47</v>
      </c>
      <c r="D364" s="1" t="s">
        <v>147</v>
      </c>
      <c r="E364" s="1" t="s">
        <v>41</v>
      </c>
      <c r="F364" s="1" t="s">
        <v>107</v>
      </c>
      <c r="G364" s="2" t="s">
        <v>350</v>
      </c>
      <c r="H364" t="str">
        <f>_xlfn.XLOOKUP(Vet_Visits[[#This Row],[Charge_Code]],Charge_Reference!A:A,Charge_Reference!B:B)</f>
        <v>Office Visit</v>
      </c>
      <c r="I364" t="s">
        <v>59</v>
      </c>
      <c r="J364" s="3">
        <v>757.41949999999997</v>
      </c>
      <c r="K364" t="s">
        <v>3</v>
      </c>
    </row>
    <row r="365" spans="1:11" x14ac:dyDescent="0.3">
      <c r="A365" s="4">
        <v>364</v>
      </c>
      <c r="B365" s="4">
        <v>181</v>
      </c>
      <c r="C365" s="4">
        <v>52</v>
      </c>
      <c r="D365" s="1" t="s">
        <v>60</v>
      </c>
      <c r="E365" s="1" t="s">
        <v>29</v>
      </c>
      <c r="F365" s="1" t="s">
        <v>38</v>
      </c>
      <c r="G365" s="2" t="s">
        <v>310</v>
      </c>
      <c r="H365" t="str">
        <f>_xlfn.XLOOKUP(Vet_Visits[[#This Row],[Charge_Code]],Charge_Reference!A:A,Charge_Reference!B:B)</f>
        <v>Radiographs</v>
      </c>
      <c r="I365" t="s">
        <v>51</v>
      </c>
      <c r="J365" s="3">
        <v>-231.5119</v>
      </c>
      <c r="K365" t="s">
        <v>5</v>
      </c>
    </row>
    <row r="366" spans="1:11" x14ac:dyDescent="0.3">
      <c r="A366" s="4">
        <v>365</v>
      </c>
      <c r="B366" s="4">
        <v>10</v>
      </c>
      <c r="C366" s="4">
        <v>41</v>
      </c>
      <c r="D366" s="1" t="s">
        <v>81</v>
      </c>
      <c r="E366" s="1" t="s">
        <v>41</v>
      </c>
      <c r="F366" s="1" t="s">
        <v>151</v>
      </c>
      <c r="G366" s="2" t="s">
        <v>190</v>
      </c>
      <c r="H366" t="str">
        <f>_xlfn.XLOOKUP(Vet_Visits[[#This Row],[Charge_Code]],Charge_Reference!A:A,Charge_Reference!B:B)</f>
        <v>Radiographs</v>
      </c>
      <c r="I366" t="s">
        <v>51</v>
      </c>
      <c r="J366" s="3">
        <v>820.79459999999995</v>
      </c>
      <c r="K366" t="s">
        <v>7</v>
      </c>
    </row>
    <row r="367" spans="1:11" x14ac:dyDescent="0.3">
      <c r="A367" s="4">
        <v>366</v>
      </c>
      <c r="B367" s="4">
        <v>1</v>
      </c>
      <c r="C367" s="4">
        <v>20</v>
      </c>
      <c r="D367" s="1" t="s">
        <v>185</v>
      </c>
      <c r="E367" s="1" t="s">
        <v>29</v>
      </c>
      <c r="F367" s="1" t="s">
        <v>49</v>
      </c>
      <c r="G367" s="2" t="s">
        <v>136</v>
      </c>
      <c r="H367" t="str">
        <f>_xlfn.XLOOKUP(Vet_Visits[[#This Row],[Charge_Code]],Charge_Reference!A:A,Charge_Reference!B:B)</f>
        <v>Emergency Visit</v>
      </c>
      <c r="I367" t="s">
        <v>36</v>
      </c>
      <c r="J367" s="3">
        <v>-253.34790000000001</v>
      </c>
      <c r="K367" t="s">
        <v>5</v>
      </c>
    </row>
    <row r="368" spans="1:11" x14ac:dyDescent="0.3">
      <c r="A368" s="4">
        <v>367</v>
      </c>
      <c r="B368" s="4">
        <v>141</v>
      </c>
      <c r="C368" s="4">
        <v>64</v>
      </c>
      <c r="D368" s="1" t="s">
        <v>56</v>
      </c>
      <c r="E368" s="1" t="s">
        <v>29</v>
      </c>
      <c r="F368" s="1" t="s">
        <v>116</v>
      </c>
      <c r="G368" s="2" t="s">
        <v>351</v>
      </c>
      <c r="H368" t="str">
        <f>_xlfn.XLOOKUP(Vet_Visits[[#This Row],[Charge_Code]],Charge_Reference!A:A,Charge_Reference!B:B)</f>
        <v>Emergency Visit</v>
      </c>
      <c r="I368" t="s">
        <v>36</v>
      </c>
      <c r="J368" s="3">
        <v>-28.445799999999998</v>
      </c>
      <c r="K368" t="s">
        <v>7</v>
      </c>
    </row>
    <row r="369" spans="1:11" x14ac:dyDescent="0.3">
      <c r="A369" s="4">
        <v>368</v>
      </c>
      <c r="B369" s="4">
        <v>95</v>
      </c>
      <c r="C369" s="4">
        <v>95</v>
      </c>
      <c r="D369" s="1" t="s">
        <v>220</v>
      </c>
      <c r="E369" s="1" t="s">
        <v>41</v>
      </c>
      <c r="F369" s="1" t="s">
        <v>171</v>
      </c>
      <c r="G369" s="2" t="s">
        <v>352</v>
      </c>
      <c r="H369" t="str">
        <f>_xlfn.XLOOKUP(Vet_Visits[[#This Row],[Charge_Code]],Charge_Reference!A:A,Charge_Reference!B:B)</f>
        <v>Nail Trim</v>
      </c>
      <c r="I369" t="s">
        <v>64</v>
      </c>
      <c r="J369" s="3">
        <v>-230.43950000000001</v>
      </c>
      <c r="K369" t="s">
        <v>7</v>
      </c>
    </row>
    <row r="370" spans="1:11" x14ac:dyDescent="0.3">
      <c r="A370" s="4">
        <v>369</v>
      </c>
      <c r="B370" s="4">
        <v>134</v>
      </c>
      <c r="C370" s="4">
        <v>93</v>
      </c>
      <c r="D370" s="1" t="s">
        <v>48</v>
      </c>
      <c r="E370" s="1" t="s">
        <v>41</v>
      </c>
      <c r="F370" s="1" t="s">
        <v>85</v>
      </c>
      <c r="G370" s="2" t="s">
        <v>353</v>
      </c>
      <c r="H370" t="str">
        <f>_xlfn.XLOOKUP(Vet_Visits[[#This Row],[Charge_Code]],Charge_Reference!A:A,Charge_Reference!B:B)</f>
        <v>Radiographs</v>
      </c>
      <c r="I370" t="s">
        <v>51</v>
      </c>
      <c r="J370" s="3">
        <v>559.65480000000002</v>
      </c>
      <c r="K370" t="s">
        <v>7</v>
      </c>
    </row>
    <row r="371" spans="1:11" x14ac:dyDescent="0.3">
      <c r="A371" s="4">
        <v>370</v>
      </c>
      <c r="B371" s="4">
        <v>97</v>
      </c>
      <c r="C371" s="4">
        <v>110</v>
      </c>
      <c r="D371" s="1" t="s">
        <v>96</v>
      </c>
      <c r="E371" s="1" t="s">
        <v>41</v>
      </c>
      <c r="F371" s="1" t="s">
        <v>107</v>
      </c>
      <c r="G371" s="2" t="s">
        <v>127</v>
      </c>
      <c r="H371" t="str">
        <f>_xlfn.XLOOKUP(Vet_Visits[[#This Row],[Charge_Code]],Charge_Reference!A:A,Charge_Reference!B:B)</f>
        <v>Office Visit</v>
      </c>
      <c r="I371" t="s">
        <v>59</v>
      </c>
      <c r="J371" s="3">
        <v>-83.119</v>
      </c>
      <c r="K371" t="s">
        <v>5</v>
      </c>
    </row>
    <row r="372" spans="1:11" x14ac:dyDescent="0.3">
      <c r="A372" s="4">
        <v>371</v>
      </c>
      <c r="B372" s="4">
        <v>118</v>
      </c>
      <c r="C372" s="4">
        <v>108</v>
      </c>
      <c r="D372" s="1" t="s">
        <v>130</v>
      </c>
      <c r="E372" s="1" t="s">
        <v>29</v>
      </c>
      <c r="F372" s="1" t="s">
        <v>102</v>
      </c>
      <c r="G372" s="2" t="s">
        <v>354</v>
      </c>
      <c r="H372" t="str">
        <f>_xlfn.XLOOKUP(Vet_Visits[[#This Row],[Charge_Code]],Charge_Reference!A:A,Charge_Reference!B:B)</f>
        <v>Surgery</v>
      </c>
      <c r="I372" t="s">
        <v>32</v>
      </c>
      <c r="J372" s="3">
        <v>605.22699999999998</v>
      </c>
      <c r="K372" t="s">
        <v>7</v>
      </c>
    </row>
    <row r="373" spans="1:11" x14ac:dyDescent="0.3">
      <c r="A373" s="4">
        <v>372</v>
      </c>
      <c r="B373" s="4">
        <v>132</v>
      </c>
      <c r="C373" s="4">
        <v>98</v>
      </c>
      <c r="D373" s="1" t="s">
        <v>194</v>
      </c>
      <c r="E373" s="1" t="s">
        <v>41</v>
      </c>
      <c r="F373" s="1" t="s">
        <v>151</v>
      </c>
      <c r="G373" s="2" t="s">
        <v>229</v>
      </c>
      <c r="H373" t="str">
        <f>_xlfn.XLOOKUP(Vet_Visits[[#This Row],[Charge_Code]],Charge_Reference!A:A,Charge_Reference!B:B)</f>
        <v>Office Visit</v>
      </c>
      <c r="I373" t="s">
        <v>59</v>
      </c>
      <c r="J373" s="3">
        <v>891.02890000000002</v>
      </c>
      <c r="K373" t="s">
        <v>5</v>
      </c>
    </row>
    <row r="374" spans="1:11" x14ac:dyDescent="0.3">
      <c r="A374" s="4">
        <v>373</v>
      </c>
      <c r="B374" s="4">
        <v>60</v>
      </c>
      <c r="C374" s="4">
        <v>39</v>
      </c>
      <c r="D374" s="1" t="s">
        <v>93</v>
      </c>
      <c r="E374" s="1" t="s">
        <v>41</v>
      </c>
      <c r="F374" s="1" t="s">
        <v>151</v>
      </c>
      <c r="G374" s="2" t="s">
        <v>355</v>
      </c>
      <c r="H374" t="str">
        <f>_xlfn.XLOOKUP(Vet_Visits[[#This Row],[Charge_Code]],Charge_Reference!A:A,Charge_Reference!B:B)</f>
        <v>Annual Bloodwork</v>
      </c>
      <c r="I374" t="s">
        <v>40</v>
      </c>
      <c r="J374" s="3">
        <v>257.0926</v>
      </c>
      <c r="K374" t="s">
        <v>3</v>
      </c>
    </row>
    <row r="375" spans="1:11" x14ac:dyDescent="0.3">
      <c r="A375" s="4">
        <v>374</v>
      </c>
      <c r="B375" s="4">
        <v>107</v>
      </c>
      <c r="C375" s="4">
        <v>125</v>
      </c>
      <c r="D375" s="1" t="s">
        <v>230</v>
      </c>
      <c r="E375" s="1" t="s">
        <v>29</v>
      </c>
      <c r="F375" s="1" t="s">
        <v>145</v>
      </c>
      <c r="G375" s="2" t="s">
        <v>356</v>
      </c>
      <c r="H375" t="str">
        <f>_xlfn.XLOOKUP(Vet_Visits[[#This Row],[Charge_Code]],Charge_Reference!A:A,Charge_Reference!B:B)</f>
        <v>Office Visit</v>
      </c>
      <c r="I375" t="s">
        <v>59</v>
      </c>
      <c r="J375" s="3">
        <v>-118.1632</v>
      </c>
      <c r="K375" t="s">
        <v>3</v>
      </c>
    </row>
    <row r="376" spans="1:11" x14ac:dyDescent="0.3">
      <c r="A376" s="4">
        <v>375</v>
      </c>
      <c r="B376" s="4">
        <v>174</v>
      </c>
      <c r="C376" s="4">
        <v>29</v>
      </c>
      <c r="D376" s="1" t="s">
        <v>109</v>
      </c>
      <c r="E376" s="1" t="s">
        <v>41</v>
      </c>
      <c r="F376" s="1" t="s">
        <v>118</v>
      </c>
      <c r="G376" s="2" t="s">
        <v>357</v>
      </c>
      <c r="H376" t="str">
        <f>_xlfn.XLOOKUP(Vet_Visits[[#This Row],[Charge_Code]],Charge_Reference!A:A,Charge_Reference!B:B)</f>
        <v>Surgery</v>
      </c>
      <c r="I376" t="s">
        <v>32</v>
      </c>
      <c r="J376" s="3">
        <v>445.35649999999998</v>
      </c>
      <c r="K376" t="s">
        <v>5</v>
      </c>
    </row>
    <row r="377" spans="1:11" x14ac:dyDescent="0.3">
      <c r="A377" s="4">
        <v>376</v>
      </c>
      <c r="B377" s="4">
        <v>97</v>
      </c>
      <c r="C377" s="4">
        <v>12</v>
      </c>
      <c r="D377" s="1" t="s">
        <v>211</v>
      </c>
      <c r="E377" s="1" t="s">
        <v>41</v>
      </c>
      <c r="F377" s="1" t="s">
        <v>94</v>
      </c>
      <c r="G377" s="2" t="s">
        <v>155</v>
      </c>
      <c r="H377" t="str">
        <f>_xlfn.XLOOKUP(Vet_Visits[[#This Row],[Charge_Code]],Charge_Reference!A:A,Charge_Reference!B:B)</f>
        <v>Radiographs</v>
      </c>
      <c r="I377" t="s">
        <v>51</v>
      </c>
      <c r="J377" s="3">
        <v>-269.983</v>
      </c>
      <c r="K377" t="s">
        <v>5</v>
      </c>
    </row>
    <row r="378" spans="1:11" x14ac:dyDescent="0.3">
      <c r="A378" s="4">
        <v>377</v>
      </c>
      <c r="B378" s="4">
        <v>48</v>
      </c>
      <c r="C378" s="4">
        <v>35</v>
      </c>
      <c r="D378" s="1" t="s">
        <v>68</v>
      </c>
      <c r="E378" s="1" t="s">
        <v>41</v>
      </c>
      <c r="F378" s="1" t="s">
        <v>82</v>
      </c>
      <c r="G378" s="2" t="s">
        <v>358</v>
      </c>
      <c r="H378" t="str">
        <f>_xlfn.XLOOKUP(Vet_Visits[[#This Row],[Charge_Code]],Charge_Reference!A:A,Charge_Reference!B:B)</f>
        <v>Annual Bloodwork</v>
      </c>
      <c r="I378" t="s">
        <v>40</v>
      </c>
      <c r="J378" s="3">
        <v>-50.144599999999997</v>
      </c>
      <c r="K378" t="s">
        <v>5</v>
      </c>
    </row>
    <row r="379" spans="1:11" x14ac:dyDescent="0.3">
      <c r="A379" s="4">
        <v>378</v>
      </c>
      <c r="B379" s="4">
        <v>5</v>
      </c>
      <c r="C379" s="4">
        <v>49</v>
      </c>
      <c r="D379" s="1" t="s">
        <v>78</v>
      </c>
      <c r="E379" s="1" t="s">
        <v>29</v>
      </c>
      <c r="F379" s="1" t="s">
        <v>104</v>
      </c>
      <c r="G379" s="2" t="s">
        <v>359</v>
      </c>
      <c r="H379" t="str">
        <f>_xlfn.XLOOKUP(Vet_Visits[[#This Row],[Charge_Code]],Charge_Reference!A:A,Charge_Reference!B:B)</f>
        <v>Surgery</v>
      </c>
      <c r="I379" t="s">
        <v>32</v>
      </c>
      <c r="J379" s="3">
        <v>273.90309999999999</v>
      </c>
      <c r="K379" t="s">
        <v>5</v>
      </c>
    </row>
    <row r="380" spans="1:11" x14ac:dyDescent="0.3">
      <c r="A380" s="4">
        <v>379</v>
      </c>
      <c r="B380" s="4">
        <v>95</v>
      </c>
      <c r="C380" s="4">
        <v>12</v>
      </c>
      <c r="D380" s="1" t="s">
        <v>197</v>
      </c>
      <c r="E380" s="1" t="s">
        <v>29</v>
      </c>
      <c r="F380" s="1" t="s">
        <v>30</v>
      </c>
      <c r="G380" s="2" t="s">
        <v>54</v>
      </c>
      <c r="H380" t="str">
        <f>_xlfn.XLOOKUP(Vet_Visits[[#This Row],[Charge_Code]],Charge_Reference!A:A,Charge_Reference!B:B)</f>
        <v>Dental Cleaning</v>
      </c>
      <c r="I380" t="s">
        <v>47</v>
      </c>
      <c r="J380" s="3">
        <v>-294.6327</v>
      </c>
      <c r="K380" t="s">
        <v>5</v>
      </c>
    </row>
    <row r="381" spans="1:11" x14ac:dyDescent="0.3">
      <c r="A381" s="4">
        <v>380</v>
      </c>
      <c r="B381" s="4">
        <v>19</v>
      </c>
      <c r="C381" s="4">
        <v>19</v>
      </c>
      <c r="D381" s="1" t="s">
        <v>96</v>
      </c>
      <c r="E381" s="1" t="s">
        <v>29</v>
      </c>
      <c r="F381" s="1" t="s">
        <v>97</v>
      </c>
      <c r="G381" s="2" t="s">
        <v>304</v>
      </c>
      <c r="H381" t="str">
        <f>_xlfn.XLOOKUP(Vet_Visits[[#This Row],[Charge_Code]],Charge_Reference!A:A,Charge_Reference!B:B)</f>
        <v>Dental Cleaning</v>
      </c>
      <c r="I381" t="s">
        <v>47</v>
      </c>
      <c r="J381" s="3">
        <v>52.862499999999997</v>
      </c>
      <c r="K381" t="s">
        <v>5</v>
      </c>
    </row>
    <row r="382" spans="1:11" x14ac:dyDescent="0.3">
      <c r="A382" s="4">
        <v>381</v>
      </c>
      <c r="B382" s="4">
        <v>133</v>
      </c>
      <c r="C382" s="4">
        <v>13</v>
      </c>
      <c r="D382" s="1" t="s">
        <v>56</v>
      </c>
      <c r="E382" s="1" t="s">
        <v>41</v>
      </c>
      <c r="F382" s="1" t="s">
        <v>116</v>
      </c>
      <c r="G382" s="2" t="s">
        <v>338</v>
      </c>
      <c r="H382" t="str">
        <f>_xlfn.XLOOKUP(Vet_Visits[[#This Row],[Charge_Code]],Charge_Reference!A:A,Charge_Reference!B:B)</f>
        <v>Dental Cleaning</v>
      </c>
      <c r="I382" t="s">
        <v>47</v>
      </c>
      <c r="J382" s="3">
        <v>116.6313</v>
      </c>
      <c r="K382" t="s">
        <v>3</v>
      </c>
    </row>
    <row r="383" spans="1:11" x14ac:dyDescent="0.3">
      <c r="A383" s="4">
        <v>382</v>
      </c>
      <c r="B383" s="4">
        <v>196</v>
      </c>
      <c r="C383" s="4">
        <v>57</v>
      </c>
      <c r="D383" s="1" t="s">
        <v>99</v>
      </c>
      <c r="E383" s="1" t="s">
        <v>29</v>
      </c>
      <c r="F383" s="1" t="s">
        <v>111</v>
      </c>
      <c r="G383" s="2" t="s">
        <v>238</v>
      </c>
      <c r="H383" t="str">
        <f>_xlfn.XLOOKUP(Vet_Visits[[#This Row],[Charge_Code]],Charge_Reference!A:A,Charge_Reference!B:B)</f>
        <v>Surgery</v>
      </c>
      <c r="I383" t="s">
        <v>32</v>
      </c>
      <c r="J383" s="3">
        <v>881.03610000000003</v>
      </c>
      <c r="K383" t="s">
        <v>7</v>
      </c>
    </row>
    <row r="384" spans="1:11" x14ac:dyDescent="0.3">
      <c r="A384" s="4">
        <v>383</v>
      </c>
      <c r="B384" s="4">
        <v>144</v>
      </c>
      <c r="C384" s="4">
        <v>46</v>
      </c>
      <c r="D384" s="1" t="s">
        <v>179</v>
      </c>
      <c r="E384" s="1" t="s">
        <v>29</v>
      </c>
      <c r="F384" s="1" t="s">
        <v>82</v>
      </c>
      <c r="G384" s="2" t="s">
        <v>321</v>
      </c>
      <c r="H384" t="str">
        <f>_xlfn.XLOOKUP(Vet_Visits[[#This Row],[Charge_Code]],Charge_Reference!A:A,Charge_Reference!B:B)</f>
        <v>Surgery</v>
      </c>
      <c r="I384" t="s">
        <v>32</v>
      </c>
      <c r="J384" s="3">
        <v>-75.9696</v>
      </c>
      <c r="K384" t="s">
        <v>3</v>
      </c>
    </row>
    <row r="385" spans="1:11" x14ac:dyDescent="0.3">
      <c r="A385" s="4">
        <v>384</v>
      </c>
      <c r="B385" s="4">
        <v>157</v>
      </c>
      <c r="C385" s="4">
        <v>110</v>
      </c>
      <c r="D385" s="1" t="s">
        <v>101</v>
      </c>
      <c r="E385" s="1" t="s">
        <v>29</v>
      </c>
      <c r="F385" s="1" t="s">
        <v>66</v>
      </c>
      <c r="G385" s="2" t="s">
        <v>262</v>
      </c>
      <c r="H385" t="str">
        <f>_xlfn.XLOOKUP(Vet_Visits[[#This Row],[Charge_Code]],Charge_Reference!A:A,Charge_Reference!B:B)</f>
        <v>Office Visit</v>
      </c>
      <c r="I385" t="s">
        <v>59</v>
      </c>
      <c r="J385" s="3">
        <v>806.13829999999996</v>
      </c>
      <c r="K385" t="s">
        <v>3</v>
      </c>
    </row>
    <row r="386" spans="1:11" x14ac:dyDescent="0.3">
      <c r="A386" s="4">
        <v>385</v>
      </c>
      <c r="B386" s="4">
        <v>118</v>
      </c>
      <c r="C386" s="4">
        <v>146</v>
      </c>
      <c r="D386" s="1" t="s">
        <v>154</v>
      </c>
      <c r="E386" s="1" t="s">
        <v>29</v>
      </c>
      <c r="F386" s="1" t="s">
        <v>171</v>
      </c>
      <c r="G386" s="2" t="s">
        <v>46</v>
      </c>
      <c r="H386" t="str">
        <f>_xlfn.XLOOKUP(Vet_Visits[[#This Row],[Charge_Code]],Charge_Reference!A:A,Charge_Reference!B:B)</f>
        <v>Nail Trim</v>
      </c>
      <c r="I386" t="s">
        <v>64</v>
      </c>
      <c r="J386" s="3">
        <v>-290.27789999999999</v>
      </c>
      <c r="K386" t="s">
        <v>5</v>
      </c>
    </row>
    <row r="387" spans="1:11" x14ac:dyDescent="0.3">
      <c r="A387" s="4">
        <v>386</v>
      </c>
      <c r="B387" s="4">
        <v>149</v>
      </c>
      <c r="C387" s="4">
        <v>101</v>
      </c>
      <c r="D387" s="1" t="s">
        <v>128</v>
      </c>
      <c r="E387" s="1" t="s">
        <v>41</v>
      </c>
      <c r="F387" s="1" t="s">
        <v>135</v>
      </c>
      <c r="G387" s="2" t="s">
        <v>153</v>
      </c>
      <c r="H387" t="str">
        <f>_xlfn.XLOOKUP(Vet_Visits[[#This Row],[Charge_Code]],Charge_Reference!A:A,Charge_Reference!B:B)</f>
        <v>Radiographs</v>
      </c>
      <c r="I387" t="s">
        <v>51</v>
      </c>
      <c r="J387" s="3">
        <v>868.63109999999995</v>
      </c>
      <c r="K387" t="s">
        <v>5</v>
      </c>
    </row>
    <row r="388" spans="1:11" x14ac:dyDescent="0.3">
      <c r="A388" s="4">
        <v>387</v>
      </c>
      <c r="B388" s="4">
        <v>193</v>
      </c>
      <c r="C388" s="4">
        <v>7</v>
      </c>
      <c r="D388" s="1" t="s">
        <v>142</v>
      </c>
      <c r="E388" s="1" t="s">
        <v>41</v>
      </c>
      <c r="F388" s="1" t="s">
        <v>57</v>
      </c>
      <c r="G388" s="2" t="s">
        <v>98</v>
      </c>
      <c r="H388" t="str">
        <f>_xlfn.XLOOKUP(Vet_Visits[[#This Row],[Charge_Code]],Charge_Reference!A:A,Charge_Reference!B:B)</f>
        <v>Surgery</v>
      </c>
      <c r="I388" t="s">
        <v>32</v>
      </c>
      <c r="J388" s="3">
        <v>505.68090000000001</v>
      </c>
      <c r="K388" t="s">
        <v>5</v>
      </c>
    </row>
    <row r="389" spans="1:11" x14ac:dyDescent="0.3">
      <c r="A389" s="4">
        <v>388</v>
      </c>
      <c r="B389" s="4">
        <v>48</v>
      </c>
      <c r="C389" s="4">
        <v>106</v>
      </c>
      <c r="D389" s="1" t="s">
        <v>217</v>
      </c>
      <c r="E389" s="1" t="s">
        <v>41</v>
      </c>
      <c r="F389" s="1" t="s">
        <v>102</v>
      </c>
      <c r="G389" s="2" t="s">
        <v>360</v>
      </c>
      <c r="H389" t="str">
        <f>_xlfn.XLOOKUP(Vet_Visits[[#This Row],[Charge_Code]],Charge_Reference!A:A,Charge_Reference!B:B)</f>
        <v>Dental Cleaning</v>
      </c>
      <c r="I389" t="s">
        <v>47</v>
      </c>
      <c r="J389" s="3">
        <v>647.15909999999997</v>
      </c>
      <c r="K389" t="s">
        <v>7</v>
      </c>
    </row>
    <row r="390" spans="1:11" x14ac:dyDescent="0.3">
      <c r="A390" s="4">
        <v>389</v>
      </c>
      <c r="B390" s="4">
        <v>84</v>
      </c>
      <c r="C390" s="4">
        <v>140</v>
      </c>
      <c r="D390" s="1" t="s">
        <v>60</v>
      </c>
      <c r="E390" s="1" t="s">
        <v>29</v>
      </c>
      <c r="F390" s="1" t="s">
        <v>97</v>
      </c>
      <c r="G390" s="2" t="s">
        <v>165</v>
      </c>
      <c r="H390" t="str">
        <f>_xlfn.XLOOKUP(Vet_Visits[[#This Row],[Charge_Code]],Charge_Reference!A:A,Charge_Reference!B:B)</f>
        <v>Nail Trim</v>
      </c>
      <c r="I390" t="s">
        <v>64</v>
      </c>
      <c r="J390" s="3">
        <v>-48.2012</v>
      </c>
      <c r="K390" t="s">
        <v>3</v>
      </c>
    </row>
    <row r="391" spans="1:11" x14ac:dyDescent="0.3">
      <c r="A391" s="4">
        <v>390</v>
      </c>
      <c r="B391" s="4">
        <v>22</v>
      </c>
      <c r="C391" s="4">
        <v>137</v>
      </c>
      <c r="D391" s="1" t="s">
        <v>109</v>
      </c>
      <c r="E391" s="1" t="s">
        <v>29</v>
      </c>
      <c r="F391" s="1" t="s">
        <v>118</v>
      </c>
      <c r="G391" s="2" t="s">
        <v>172</v>
      </c>
      <c r="H391" t="str">
        <f>_xlfn.XLOOKUP(Vet_Visits[[#This Row],[Charge_Code]],Charge_Reference!A:A,Charge_Reference!B:B)</f>
        <v>Office Visit</v>
      </c>
      <c r="I391" t="s">
        <v>59</v>
      </c>
      <c r="J391" s="3">
        <v>-48.435899999999997</v>
      </c>
      <c r="K391" t="s">
        <v>3</v>
      </c>
    </row>
    <row r="392" spans="1:11" x14ac:dyDescent="0.3">
      <c r="A392" s="4">
        <v>391</v>
      </c>
      <c r="B392" s="4">
        <v>130</v>
      </c>
      <c r="C392" s="4">
        <v>135</v>
      </c>
      <c r="D392" s="1" t="s">
        <v>56</v>
      </c>
      <c r="E392" s="1" t="s">
        <v>29</v>
      </c>
      <c r="F392" s="1" t="s">
        <v>34</v>
      </c>
      <c r="G392" s="2" t="s">
        <v>323</v>
      </c>
      <c r="H392" t="str">
        <f>_xlfn.XLOOKUP(Vet_Visits[[#This Row],[Charge_Code]],Charge_Reference!A:A,Charge_Reference!B:B)</f>
        <v>Vaccination</v>
      </c>
      <c r="I392" t="s">
        <v>55</v>
      </c>
      <c r="J392" s="3">
        <v>277.10289999999998</v>
      </c>
      <c r="K392" t="s">
        <v>7</v>
      </c>
    </row>
    <row r="393" spans="1:11" x14ac:dyDescent="0.3">
      <c r="A393" s="4">
        <v>392</v>
      </c>
      <c r="B393" s="4">
        <v>114</v>
      </c>
      <c r="C393" s="4">
        <v>128</v>
      </c>
      <c r="D393" s="1" t="s">
        <v>130</v>
      </c>
      <c r="E393" s="1" t="s">
        <v>29</v>
      </c>
      <c r="F393" s="1" t="s">
        <v>116</v>
      </c>
      <c r="G393" s="2" t="s">
        <v>345</v>
      </c>
      <c r="H393" t="str">
        <f>_xlfn.XLOOKUP(Vet_Visits[[#This Row],[Charge_Code]],Charge_Reference!A:A,Charge_Reference!B:B)</f>
        <v>Vaccination</v>
      </c>
      <c r="I393" t="s">
        <v>55</v>
      </c>
      <c r="J393" s="3">
        <v>100.08759999999999</v>
      </c>
      <c r="K393" t="s">
        <v>5</v>
      </c>
    </row>
    <row r="394" spans="1:11" x14ac:dyDescent="0.3">
      <c r="A394" s="4">
        <v>393</v>
      </c>
      <c r="B394" s="4">
        <v>151</v>
      </c>
      <c r="C394" s="4">
        <v>117</v>
      </c>
      <c r="D394" s="1" t="s">
        <v>130</v>
      </c>
      <c r="E394" s="1" t="s">
        <v>29</v>
      </c>
      <c r="F394" s="1" t="s">
        <v>45</v>
      </c>
      <c r="G394" s="2" t="s">
        <v>202</v>
      </c>
      <c r="H394" t="str">
        <f>_xlfn.XLOOKUP(Vet_Visits[[#This Row],[Charge_Code]],Charge_Reference!A:A,Charge_Reference!B:B)</f>
        <v>Dental Cleaning</v>
      </c>
      <c r="I394" t="s">
        <v>47</v>
      </c>
      <c r="J394" s="3">
        <v>127.0641</v>
      </c>
      <c r="K394" t="s">
        <v>7</v>
      </c>
    </row>
    <row r="395" spans="1:11" x14ac:dyDescent="0.3">
      <c r="A395" s="4">
        <v>394</v>
      </c>
      <c r="B395" s="4">
        <v>118</v>
      </c>
      <c r="C395" s="4">
        <v>29</v>
      </c>
      <c r="D395" s="1" t="s">
        <v>197</v>
      </c>
      <c r="E395" s="1" t="s">
        <v>41</v>
      </c>
      <c r="F395" s="1" t="s">
        <v>111</v>
      </c>
      <c r="G395" s="2" t="s">
        <v>301</v>
      </c>
      <c r="H395" t="str">
        <f>_xlfn.XLOOKUP(Vet_Visits[[#This Row],[Charge_Code]],Charge_Reference!A:A,Charge_Reference!B:B)</f>
        <v>Radiographs</v>
      </c>
      <c r="I395" t="s">
        <v>51</v>
      </c>
      <c r="J395" s="3">
        <v>-76.145700000000005</v>
      </c>
      <c r="K395" t="s">
        <v>5</v>
      </c>
    </row>
    <row r="396" spans="1:11" x14ac:dyDescent="0.3">
      <c r="A396" s="4">
        <v>395</v>
      </c>
      <c r="B396" s="4">
        <v>19</v>
      </c>
      <c r="C396" s="4">
        <v>131</v>
      </c>
      <c r="D396" s="1" t="s">
        <v>84</v>
      </c>
      <c r="E396" s="1" t="s">
        <v>41</v>
      </c>
      <c r="F396" s="1" t="s">
        <v>30</v>
      </c>
      <c r="G396" s="2" t="s">
        <v>308</v>
      </c>
      <c r="H396" t="str">
        <f>_xlfn.XLOOKUP(Vet_Visits[[#This Row],[Charge_Code]],Charge_Reference!A:A,Charge_Reference!B:B)</f>
        <v>Annual Bloodwork</v>
      </c>
      <c r="I396" t="s">
        <v>40</v>
      </c>
      <c r="J396" s="3">
        <v>875.32640000000004</v>
      </c>
      <c r="K396" t="s">
        <v>3</v>
      </c>
    </row>
    <row r="397" spans="1:11" x14ac:dyDescent="0.3">
      <c r="A397" s="4">
        <v>396</v>
      </c>
      <c r="B397" s="4">
        <v>31</v>
      </c>
      <c r="C397" s="4">
        <v>22</v>
      </c>
      <c r="D397" s="1" t="s">
        <v>230</v>
      </c>
      <c r="E397" s="1" t="s">
        <v>41</v>
      </c>
      <c r="F397" s="1" t="s">
        <v>61</v>
      </c>
      <c r="G397" s="2" t="s">
        <v>361</v>
      </c>
      <c r="H397" t="str">
        <f>_xlfn.XLOOKUP(Vet_Visits[[#This Row],[Charge_Code]],Charge_Reference!A:A,Charge_Reference!B:B)</f>
        <v>Radiographs</v>
      </c>
      <c r="I397" t="s">
        <v>51</v>
      </c>
      <c r="J397" s="3">
        <v>21.060400000000001</v>
      </c>
      <c r="K397" t="s">
        <v>3</v>
      </c>
    </row>
    <row r="398" spans="1:11" x14ac:dyDescent="0.3">
      <c r="A398" s="4">
        <v>397</v>
      </c>
      <c r="B398" s="4">
        <v>52</v>
      </c>
      <c r="C398" s="4">
        <v>150</v>
      </c>
      <c r="D398" s="1" t="s">
        <v>128</v>
      </c>
      <c r="E398" s="1" t="s">
        <v>29</v>
      </c>
      <c r="F398" s="1" t="s">
        <v>116</v>
      </c>
      <c r="G398" s="2" t="s">
        <v>119</v>
      </c>
      <c r="H398" t="str">
        <f>_xlfn.XLOOKUP(Vet_Visits[[#This Row],[Charge_Code]],Charge_Reference!A:A,Charge_Reference!B:B)</f>
        <v>Annual Bloodwork</v>
      </c>
      <c r="I398" t="s">
        <v>40</v>
      </c>
      <c r="J398" s="3">
        <v>282.67739999999998</v>
      </c>
      <c r="K398" t="s">
        <v>7</v>
      </c>
    </row>
    <row r="399" spans="1:11" x14ac:dyDescent="0.3">
      <c r="A399" s="4">
        <v>398</v>
      </c>
      <c r="B399" s="4">
        <v>161</v>
      </c>
      <c r="C399" s="4">
        <v>85</v>
      </c>
      <c r="D399" s="1" t="s">
        <v>101</v>
      </c>
      <c r="E399" s="1" t="s">
        <v>29</v>
      </c>
      <c r="F399" s="1" t="s">
        <v>57</v>
      </c>
      <c r="G399" s="2" t="s">
        <v>247</v>
      </c>
      <c r="H399" t="str">
        <f>_xlfn.XLOOKUP(Vet_Visits[[#This Row],[Charge_Code]],Charge_Reference!A:A,Charge_Reference!B:B)</f>
        <v>Surgery</v>
      </c>
      <c r="I399" t="s">
        <v>32</v>
      </c>
      <c r="J399" s="3">
        <v>-265.76659999999998</v>
      </c>
      <c r="K399" t="s">
        <v>3</v>
      </c>
    </row>
    <row r="400" spans="1:11" x14ac:dyDescent="0.3">
      <c r="A400" s="4">
        <v>399</v>
      </c>
      <c r="B400" s="4">
        <v>119</v>
      </c>
      <c r="C400" s="4">
        <v>116</v>
      </c>
      <c r="D400" s="1" t="s">
        <v>120</v>
      </c>
      <c r="E400" s="1" t="s">
        <v>29</v>
      </c>
      <c r="F400" s="1" t="s">
        <v>61</v>
      </c>
      <c r="G400" s="2" t="s">
        <v>333</v>
      </c>
      <c r="H400" t="str">
        <f>_xlfn.XLOOKUP(Vet_Visits[[#This Row],[Charge_Code]],Charge_Reference!A:A,Charge_Reference!B:B)</f>
        <v>Annual Bloodwork</v>
      </c>
      <c r="I400" t="s">
        <v>40</v>
      </c>
      <c r="J400" s="3">
        <v>656.40539999999999</v>
      </c>
      <c r="K400" t="s">
        <v>5</v>
      </c>
    </row>
    <row r="401" spans="1:11" x14ac:dyDescent="0.3">
      <c r="A401" s="4">
        <v>400</v>
      </c>
      <c r="B401" s="4">
        <v>30</v>
      </c>
      <c r="C401" s="4">
        <v>82</v>
      </c>
      <c r="D401" s="1" t="s">
        <v>113</v>
      </c>
      <c r="E401" s="1" t="s">
        <v>29</v>
      </c>
      <c r="F401" s="1" t="s">
        <v>87</v>
      </c>
      <c r="G401" s="2" t="s">
        <v>144</v>
      </c>
      <c r="H401" t="str">
        <f>_xlfn.XLOOKUP(Vet_Visits[[#This Row],[Charge_Code]],Charge_Reference!A:A,Charge_Reference!B:B)</f>
        <v>Office Visit</v>
      </c>
      <c r="I401" t="s">
        <v>59</v>
      </c>
      <c r="J401" s="3">
        <v>59.463900000000002</v>
      </c>
      <c r="K401" t="s">
        <v>5</v>
      </c>
    </row>
    <row r="402" spans="1:11" x14ac:dyDescent="0.3">
      <c r="A402" s="4">
        <v>401</v>
      </c>
      <c r="B402" s="4">
        <v>7</v>
      </c>
      <c r="C402" s="4">
        <v>53</v>
      </c>
      <c r="D402" s="1" t="s">
        <v>244</v>
      </c>
      <c r="E402" s="1" t="s">
        <v>41</v>
      </c>
      <c r="F402" s="1" t="s">
        <v>97</v>
      </c>
      <c r="G402" s="2" t="s">
        <v>350</v>
      </c>
      <c r="H402" t="str">
        <f>_xlfn.XLOOKUP(Vet_Visits[[#This Row],[Charge_Code]],Charge_Reference!A:A,Charge_Reference!B:B)</f>
        <v>Nail Trim</v>
      </c>
      <c r="I402" t="s">
        <v>64</v>
      </c>
      <c r="J402" s="3">
        <v>49.212899999999998</v>
      </c>
      <c r="K402" t="s">
        <v>5</v>
      </c>
    </row>
    <row r="403" spans="1:11" x14ac:dyDescent="0.3">
      <c r="A403" s="4">
        <v>402</v>
      </c>
      <c r="B403" s="4">
        <v>91</v>
      </c>
      <c r="C403" s="4">
        <v>18</v>
      </c>
      <c r="D403" s="1" t="s">
        <v>126</v>
      </c>
      <c r="E403" s="1" t="s">
        <v>41</v>
      </c>
      <c r="F403" s="1" t="s">
        <v>160</v>
      </c>
      <c r="G403" s="2" t="s">
        <v>117</v>
      </c>
      <c r="H403" t="str">
        <f>_xlfn.XLOOKUP(Vet_Visits[[#This Row],[Charge_Code]],Charge_Reference!A:A,Charge_Reference!B:B)</f>
        <v>Nail Trim</v>
      </c>
      <c r="I403" t="s">
        <v>64</v>
      </c>
      <c r="J403" s="3">
        <v>649.32560000000001</v>
      </c>
      <c r="K403" t="s">
        <v>7</v>
      </c>
    </row>
    <row r="404" spans="1:11" x14ac:dyDescent="0.3">
      <c r="A404" s="4">
        <v>403</v>
      </c>
      <c r="B404" s="4">
        <v>29</v>
      </c>
      <c r="C404" s="4">
        <v>120</v>
      </c>
      <c r="D404" s="1" t="s">
        <v>81</v>
      </c>
      <c r="E404" s="1" t="s">
        <v>41</v>
      </c>
      <c r="F404" s="1" t="s">
        <v>57</v>
      </c>
      <c r="G404" s="2" t="s">
        <v>148</v>
      </c>
      <c r="H404" t="str">
        <f>_xlfn.XLOOKUP(Vet_Visits[[#This Row],[Charge_Code]],Charge_Reference!A:A,Charge_Reference!B:B)</f>
        <v>Surgery</v>
      </c>
      <c r="I404" t="s">
        <v>32</v>
      </c>
      <c r="J404" s="3">
        <v>634.02279999999996</v>
      </c>
      <c r="K404" t="s">
        <v>5</v>
      </c>
    </row>
    <row r="405" spans="1:11" x14ac:dyDescent="0.3">
      <c r="A405" s="4">
        <v>404</v>
      </c>
      <c r="B405" s="4">
        <v>169</v>
      </c>
      <c r="C405" s="4">
        <v>81</v>
      </c>
      <c r="D405" s="1" t="s">
        <v>52</v>
      </c>
      <c r="E405" s="1" t="s">
        <v>29</v>
      </c>
      <c r="F405" s="1" t="s">
        <v>73</v>
      </c>
      <c r="G405" s="2" t="s">
        <v>329</v>
      </c>
      <c r="H405" t="str">
        <f>_xlfn.XLOOKUP(Vet_Visits[[#This Row],[Charge_Code]],Charge_Reference!A:A,Charge_Reference!B:B)</f>
        <v>Dental Cleaning</v>
      </c>
      <c r="I405" t="s">
        <v>47</v>
      </c>
      <c r="J405" s="3">
        <v>-154.03890000000001</v>
      </c>
      <c r="K405" t="s">
        <v>3</v>
      </c>
    </row>
    <row r="406" spans="1:11" x14ac:dyDescent="0.3">
      <c r="A406" s="4">
        <v>405</v>
      </c>
      <c r="B406" s="4">
        <v>58</v>
      </c>
      <c r="C406" s="4">
        <v>118</v>
      </c>
      <c r="D406" s="1" t="s">
        <v>120</v>
      </c>
      <c r="E406" s="1" t="s">
        <v>29</v>
      </c>
      <c r="F406" s="1" t="s">
        <v>53</v>
      </c>
      <c r="G406" s="2" t="s">
        <v>169</v>
      </c>
      <c r="H406" t="str">
        <f>_xlfn.XLOOKUP(Vet_Visits[[#This Row],[Charge_Code]],Charge_Reference!A:A,Charge_Reference!B:B)</f>
        <v>Vaccination</v>
      </c>
      <c r="I406" t="s">
        <v>55</v>
      </c>
      <c r="J406" s="3">
        <v>461.10359999999997</v>
      </c>
      <c r="K406" t="s">
        <v>3</v>
      </c>
    </row>
    <row r="407" spans="1:11" x14ac:dyDescent="0.3">
      <c r="A407" s="4">
        <v>406</v>
      </c>
      <c r="B407" s="4">
        <v>162</v>
      </c>
      <c r="C407" s="4">
        <v>93</v>
      </c>
      <c r="D407" s="1" t="s">
        <v>96</v>
      </c>
      <c r="E407" s="1" t="s">
        <v>41</v>
      </c>
      <c r="F407" s="1" t="s">
        <v>97</v>
      </c>
      <c r="G407" s="2" t="s">
        <v>209</v>
      </c>
      <c r="H407" t="str">
        <f>_xlfn.XLOOKUP(Vet_Visits[[#This Row],[Charge_Code]],Charge_Reference!A:A,Charge_Reference!B:B)</f>
        <v>Annual Bloodwork</v>
      </c>
      <c r="I407" t="s">
        <v>40</v>
      </c>
      <c r="J407" s="3">
        <v>146.49590000000001</v>
      </c>
      <c r="K407" t="s">
        <v>7</v>
      </c>
    </row>
    <row r="408" spans="1:11" x14ac:dyDescent="0.3">
      <c r="A408" s="4">
        <v>407</v>
      </c>
      <c r="B408" s="4">
        <v>65</v>
      </c>
      <c r="C408" s="4">
        <v>103</v>
      </c>
      <c r="D408" s="1" t="s">
        <v>44</v>
      </c>
      <c r="E408" s="1" t="s">
        <v>41</v>
      </c>
      <c r="F408" s="1" t="s">
        <v>45</v>
      </c>
      <c r="G408" s="2" t="s">
        <v>50</v>
      </c>
      <c r="H408" t="str">
        <f>_xlfn.XLOOKUP(Vet_Visits[[#This Row],[Charge_Code]],Charge_Reference!A:A,Charge_Reference!B:B)</f>
        <v>Emergency Visit</v>
      </c>
      <c r="I408" t="s">
        <v>36</v>
      </c>
      <c r="J408" s="3">
        <v>-52.04</v>
      </c>
      <c r="K408" t="s">
        <v>5</v>
      </c>
    </row>
    <row r="409" spans="1:11" x14ac:dyDescent="0.3">
      <c r="A409" s="4">
        <v>408</v>
      </c>
      <c r="B409" s="4">
        <v>33</v>
      </c>
      <c r="C409" s="4">
        <v>4</v>
      </c>
      <c r="D409" s="1" t="s">
        <v>52</v>
      </c>
      <c r="E409" s="1" t="s">
        <v>29</v>
      </c>
      <c r="F409" s="1" t="s">
        <v>87</v>
      </c>
      <c r="G409" s="2" t="s">
        <v>210</v>
      </c>
      <c r="H409" t="str">
        <f>_xlfn.XLOOKUP(Vet_Visits[[#This Row],[Charge_Code]],Charge_Reference!A:A,Charge_Reference!B:B)</f>
        <v>Radiographs</v>
      </c>
      <c r="I409" t="s">
        <v>51</v>
      </c>
      <c r="J409" s="3">
        <v>697.46889999999996</v>
      </c>
      <c r="K409" t="s">
        <v>7</v>
      </c>
    </row>
    <row r="410" spans="1:11" x14ac:dyDescent="0.3">
      <c r="A410" s="4">
        <v>409</v>
      </c>
      <c r="B410" s="4">
        <v>183</v>
      </c>
      <c r="C410" s="4">
        <v>150</v>
      </c>
      <c r="D410" s="1" t="s">
        <v>33</v>
      </c>
      <c r="E410" s="1" t="s">
        <v>29</v>
      </c>
      <c r="F410" s="1" t="s">
        <v>160</v>
      </c>
      <c r="G410" s="2" t="s">
        <v>133</v>
      </c>
      <c r="H410" t="str">
        <f>_xlfn.XLOOKUP(Vet_Visits[[#This Row],[Charge_Code]],Charge_Reference!A:A,Charge_Reference!B:B)</f>
        <v>Annual Bloodwork</v>
      </c>
      <c r="I410" t="s">
        <v>40</v>
      </c>
      <c r="J410" s="3">
        <v>723.11189999999999</v>
      </c>
      <c r="K410" t="s">
        <v>3</v>
      </c>
    </row>
    <row r="411" spans="1:11" x14ac:dyDescent="0.3">
      <c r="A411" s="4">
        <v>410</v>
      </c>
      <c r="B411" s="4">
        <v>32</v>
      </c>
      <c r="C411" s="4">
        <v>64</v>
      </c>
      <c r="D411" s="1" t="s">
        <v>84</v>
      </c>
      <c r="E411" s="1" t="s">
        <v>29</v>
      </c>
      <c r="F411" s="1" t="s">
        <v>53</v>
      </c>
      <c r="G411" s="2" t="s">
        <v>325</v>
      </c>
      <c r="H411" t="str">
        <f>_xlfn.XLOOKUP(Vet_Visits[[#This Row],[Charge_Code]],Charge_Reference!A:A,Charge_Reference!B:B)</f>
        <v>Vaccination</v>
      </c>
      <c r="I411" t="s">
        <v>55</v>
      </c>
      <c r="J411" s="3">
        <v>229.51169999999999</v>
      </c>
      <c r="K411" t="s">
        <v>5</v>
      </c>
    </row>
    <row r="412" spans="1:11" x14ac:dyDescent="0.3">
      <c r="A412" s="4">
        <v>411</v>
      </c>
      <c r="B412" s="4">
        <v>171</v>
      </c>
      <c r="C412" s="4">
        <v>115</v>
      </c>
      <c r="D412" s="1" t="s">
        <v>28</v>
      </c>
      <c r="E412" s="1" t="s">
        <v>29</v>
      </c>
      <c r="F412" s="1" t="s">
        <v>49</v>
      </c>
      <c r="G412" s="2" t="s">
        <v>352</v>
      </c>
      <c r="H412" t="str">
        <f>_xlfn.XLOOKUP(Vet_Visits[[#This Row],[Charge_Code]],Charge_Reference!A:A,Charge_Reference!B:B)</f>
        <v>Emergency Visit</v>
      </c>
      <c r="I412" t="s">
        <v>36</v>
      </c>
      <c r="J412" s="3">
        <v>68.335300000000004</v>
      </c>
      <c r="K412" t="s">
        <v>7</v>
      </c>
    </row>
    <row r="413" spans="1:11" x14ac:dyDescent="0.3">
      <c r="A413" s="4">
        <v>412</v>
      </c>
      <c r="B413" s="4">
        <v>23</v>
      </c>
      <c r="C413" s="4">
        <v>111</v>
      </c>
      <c r="D413" s="1" t="s">
        <v>214</v>
      </c>
      <c r="E413" s="1" t="s">
        <v>29</v>
      </c>
      <c r="F413" s="1" t="s">
        <v>102</v>
      </c>
      <c r="G413" s="2" t="s">
        <v>362</v>
      </c>
      <c r="H413" t="str">
        <f>_xlfn.XLOOKUP(Vet_Visits[[#This Row],[Charge_Code]],Charge_Reference!A:A,Charge_Reference!B:B)</f>
        <v>Surgery</v>
      </c>
      <c r="I413" t="s">
        <v>32</v>
      </c>
      <c r="J413" s="3">
        <v>842.56870000000004</v>
      </c>
      <c r="K413" t="s">
        <v>5</v>
      </c>
    </row>
    <row r="414" spans="1:11" x14ac:dyDescent="0.3">
      <c r="A414" s="4">
        <v>413</v>
      </c>
      <c r="B414" s="4">
        <v>127</v>
      </c>
      <c r="C414" s="4">
        <v>101</v>
      </c>
      <c r="D414" s="1" t="s">
        <v>84</v>
      </c>
      <c r="E414" s="1" t="s">
        <v>29</v>
      </c>
      <c r="F414" s="1" t="s">
        <v>73</v>
      </c>
      <c r="G414" s="2" t="s">
        <v>363</v>
      </c>
      <c r="H414" t="str">
        <f>_xlfn.XLOOKUP(Vet_Visits[[#This Row],[Charge_Code]],Charge_Reference!A:A,Charge_Reference!B:B)</f>
        <v>Nail Trim</v>
      </c>
      <c r="I414" t="s">
        <v>64</v>
      </c>
      <c r="J414" s="3">
        <v>52.573999999999998</v>
      </c>
      <c r="K414" t="s">
        <v>5</v>
      </c>
    </row>
    <row r="415" spans="1:11" x14ac:dyDescent="0.3">
      <c r="A415" s="4">
        <v>414</v>
      </c>
      <c r="B415" s="4">
        <v>128</v>
      </c>
      <c r="C415" s="4">
        <v>27</v>
      </c>
      <c r="D415" s="1" t="s">
        <v>139</v>
      </c>
      <c r="E415" s="1" t="s">
        <v>41</v>
      </c>
      <c r="F415" s="1" t="s">
        <v>61</v>
      </c>
      <c r="G415" s="2" t="s">
        <v>342</v>
      </c>
      <c r="H415" t="str">
        <f>_xlfn.XLOOKUP(Vet_Visits[[#This Row],[Charge_Code]],Charge_Reference!A:A,Charge_Reference!B:B)</f>
        <v>Office Visit</v>
      </c>
      <c r="I415" t="s">
        <v>59</v>
      </c>
      <c r="J415" s="3">
        <v>502.20069999999998</v>
      </c>
      <c r="K415" t="s">
        <v>3</v>
      </c>
    </row>
    <row r="416" spans="1:11" x14ac:dyDescent="0.3">
      <c r="A416" s="4">
        <v>415</v>
      </c>
      <c r="B416" s="4">
        <v>93</v>
      </c>
      <c r="C416" s="4">
        <v>46</v>
      </c>
      <c r="D416" s="1" t="s">
        <v>113</v>
      </c>
      <c r="E416" s="1" t="s">
        <v>41</v>
      </c>
      <c r="F416" s="1" t="s">
        <v>171</v>
      </c>
      <c r="G416" s="2" t="s">
        <v>119</v>
      </c>
      <c r="H416" t="str">
        <f>_xlfn.XLOOKUP(Vet_Visits[[#This Row],[Charge_Code]],Charge_Reference!A:A,Charge_Reference!B:B)</f>
        <v>Emergency Visit</v>
      </c>
      <c r="I416" t="s">
        <v>36</v>
      </c>
      <c r="J416" s="3">
        <v>881.2441</v>
      </c>
      <c r="K416" t="s">
        <v>7</v>
      </c>
    </row>
    <row r="417" spans="1:11" x14ac:dyDescent="0.3">
      <c r="A417" s="4">
        <v>416</v>
      </c>
      <c r="B417" s="4">
        <v>98</v>
      </c>
      <c r="C417" s="4">
        <v>138</v>
      </c>
      <c r="D417" s="1" t="s">
        <v>91</v>
      </c>
      <c r="E417" s="1" t="s">
        <v>29</v>
      </c>
      <c r="F417" s="1" t="s">
        <v>61</v>
      </c>
      <c r="G417" s="2" t="s">
        <v>229</v>
      </c>
      <c r="H417" t="str">
        <f>_xlfn.XLOOKUP(Vet_Visits[[#This Row],[Charge_Code]],Charge_Reference!A:A,Charge_Reference!B:B)</f>
        <v>Surgery</v>
      </c>
      <c r="I417" t="s">
        <v>32</v>
      </c>
      <c r="J417" s="3">
        <v>137.04509999999999</v>
      </c>
      <c r="K417" t="s">
        <v>3</v>
      </c>
    </row>
    <row r="418" spans="1:11" x14ac:dyDescent="0.3">
      <c r="A418" s="4">
        <v>417</v>
      </c>
      <c r="B418" s="4">
        <v>54</v>
      </c>
      <c r="C418" s="4">
        <v>3</v>
      </c>
      <c r="D418" s="1" t="s">
        <v>60</v>
      </c>
      <c r="E418" s="1" t="s">
        <v>41</v>
      </c>
      <c r="F418" s="1" t="s">
        <v>171</v>
      </c>
      <c r="G418" s="2" t="s">
        <v>364</v>
      </c>
      <c r="H418" t="str">
        <f>_xlfn.XLOOKUP(Vet_Visits[[#This Row],[Charge_Code]],Charge_Reference!A:A,Charge_Reference!B:B)</f>
        <v>Office Visit</v>
      </c>
      <c r="I418" t="s">
        <v>59</v>
      </c>
      <c r="J418" s="3">
        <v>-71.841300000000004</v>
      </c>
      <c r="K418" t="s">
        <v>5</v>
      </c>
    </row>
    <row r="419" spans="1:11" x14ac:dyDescent="0.3">
      <c r="A419" s="4">
        <v>418</v>
      </c>
      <c r="B419" s="4">
        <v>191</v>
      </c>
      <c r="C419" s="4">
        <v>105</v>
      </c>
      <c r="D419" s="1" t="s">
        <v>37</v>
      </c>
      <c r="E419" s="1" t="s">
        <v>29</v>
      </c>
      <c r="F419" s="1" t="s">
        <v>171</v>
      </c>
      <c r="G419" s="2" t="s">
        <v>365</v>
      </c>
      <c r="H419" t="str">
        <f>_xlfn.XLOOKUP(Vet_Visits[[#This Row],[Charge_Code]],Charge_Reference!A:A,Charge_Reference!B:B)</f>
        <v>Vaccination</v>
      </c>
      <c r="I419" t="s">
        <v>55</v>
      </c>
      <c r="J419" s="3">
        <v>438.97129999999999</v>
      </c>
      <c r="K419" t="s">
        <v>5</v>
      </c>
    </row>
    <row r="420" spans="1:11" x14ac:dyDescent="0.3">
      <c r="A420" s="4">
        <v>419</v>
      </c>
      <c r="B420" s="4">
        <v>42</v>
      </c>
      <c r="C420" s="4">
        <v>123</v>
      </c>
      <c r="D420" s="1" t="s">
        <v>183</v>
      </c>
      <c r="E420" s="1" t="s">
        <v>41</v>
      </c>
      <c r="F420" s="1" t="s">
        <v>145</v>
      </c>
      <c r="G420" s="2" t="s">
        <v>358</v>
      </c>
      <c r="H420" t="str">
        <f>_xlfn.XLOOKUP(Vet_Visits[[#This Row],[Charge_Code]],Charge_Reference!A:A,Charge_Reference!B:B)</f>
        <v>Nail Trim</v>
      </c>
      <c r="I420" t="s">
        <v>64</v>
      </c>
      <c r="J420" s="3">
        <v>236.92920000000001</v>
      </c>
      <c r="K420" t="s">
        <v>7</v>
      </c>
    </row>
    <row r="421" spans="1:11" x14ac:dyDescent="0.3">
      <c r="A421" s="4">
        <v>420</v>
      </c>
      <c r="B421" s="4">
        <v>169</v>
      </c>
      <c r="C421" s="4">
        <v>102</v>
      </c>
      <c r="D421" s="1" t="s">
        <v>130</v>
      </c>
      <c r="E421" s="1" t="s">
        <v>41</v>
      </c>
      <c r="F421" s="1" t="s">
        <v>102</v>
      </c>
      <c r="G421" s="2" t="s">
        <v>309</v>
      </c>
      <c r="H421" t="str">
        <f>_xlfn.XLOOKUP(Vet_Visits[[#This Row],[Charge_Code]],Charge_Reference!A:A,Charge_Reference!B:B)</f>
        <v>Annual Bloodwork</v>
      </c>
      <c r="I421" t="s">
        <v>40</v>
      </c>
      <c r="J421" s="3">
        <v>520.78129999999999</v>
      </c>
      <c r="K421" t="s">
        <v>5</v>
      </c>
    </row>
    <row r="422" spans="1:11" x14ac:dyDescent="0.3">
      <c r="A422" s="4">
        <v>421</v>
      </c>
      <c r="B422" s="4">
        <v>195</v>
      </c>
      <c r="C422" s="4">
        <v>56</v>
      </c>
      <c r="D422" s="1" t="s">
        <v>142</v>
      </c>
      <c r="E422" s="1" t="s">
        <v>41</v>
      </c>
      <c r="F422" s="1" t="s">
        <v>94</v>
      </c>
      <c r="G422" s="2" t="s">
        <v>273</v>
      </c>
      <c r="H422" t="str">
        <f>_xlfn.XLOOKUP(Vet_Visits[[#This Row],[Charge_Code]],Charge_Reference!A:A,Charge_Reference!B:B)</f>
        <v>Dental Cleaning</v>
      </c>
      <c r="I422" t="s">
        <v>47</v>
      </c>
      <c r="J422" s="3">
        <v>294.92590000000001</v>
      </c>
      <c r="K422" t="s">
        <v>5</v>
      </c>
    </row>
    <row r="423" spans="1:11" x14ac:dyDescent="0.3">
      <c r="A423" s="4">
        <v>422</v>
      </c>
      <c r="B423" s="4">
        <v>60</v>
      </c>
      <c r="C423" s="4">
        <v>3</v>
      </c>
      <c r="D423" s="1" t="s">
        <v>183</v>
      </c>
      <c r="E423" s="1" t="s">
        <v>29</v>
      </c>
      <c r="F423" s="1" t="s">
        <v>53</v>
      </c>
      <c r="G423" s="2" t="s">
        <v>54</v>
      </c>
      <c r="H423" t="str">
        <f>_xlfn.XLOOKUP(Vet_Visits[[#This Row],[Charge_Code]],Charge_Reference!A:A,Charge_Reference!B:B)</f>
        <v>Emergency Visit</v>
      </c>
      <c r="I423" t="s">
        <v>36</v>
      </c>
      <c r="J423" s="3">
        <v>127.8862</v>
      </c>
      <c r="K423" t="s">
        <v>3</v>
      </c>
    </row>
    <row r="424" spans="1:11" x14ac:dyDescent="0.3">
      <c r="A424" s="4">
        <v>423</v>
      </c>
      <c r="B424" s="4">
        <v>21</v>
      </c>
      <c r="C424" s="4">
        <v>5</v>
      </c>
      <c r="D424" s="1" t="s">
        <v>93</v>
      </c>
      <c r="E424" s="1" t="s">
        <v>41</v>
      </c>
      <c r="F424" s="1" t="s">
        <v>160</v>
      </c>
      <c r="G424" s="2" t="s">
        <v>246</v>
      </c>
      <c r="H424" t="str">
        <f>_xlfn.XLOOKUP(Vet_Visits[[#This Row],[Charge_Code]],Charge_Reference!A:A,Charge_Reference!B:B)</f>
        <v>Nail Trim</v>
      </c>
      <c r="I424" t="s">
        <v>64</v>
      </c>
      <c r="J424" s="3">
        <v>605.0865</v>
      </c>
      <c r="K424" t="s">
        <v>3</v>
      </c>
    </row>
    <row r="425" spans="1:11" x14ac:dyDescent="0.3">
      <c r="A425" s="4">
        <v>424</v>
      </c>
      <c r="B425" s="4">
        <v>191</v>
      </c>
      <c r="C425" s="4">
        <v>10</v>
      </c>
      <c r="D425" s="1" t="s">
        <v>211</v>
      </c>
      <c r="E425" s="1" t="s">
        <v>41</v>
      </c>
      <c r="F425" s="1" t="s">
        <v>73</v>
      </c>
      <c r="G425" s="2" t="s">
        <v>180</v>
      </c>
      <c r="H425" t="str">
        <f>_xlfn.XLOOKUP(Vet_Visits[[#This Row],[Charge_Code]],Charge_Reference!A:A,Charge_Reference!B:B)</f>
        <v>Emergency Visit</v>
      </c>
      <c r="I425" t="s">
        <v>36</v>
      </c>
      <c r="J425" s="3">
        <v>-49.531799999999997</v>
      </c>
      <c r="K425" t="s">
        <v>7</v>
      </c>
    </row>
    <row r="426" spans="1:11" x14ac:dyDescent="0.3">
      <c r="A426" s="4">
        <v>425</v>
      </c>
      <c r="B426" s="4">
        <v>166</v>
      </c>
      <c r="C426" s="4">
        <v>59</v>
      </c>
      <c r="D426" s="1" t="s">
        <v>96</v>
      </c>
      <c r="E426" s="1" t="s">
        <v>29</v>
      </c>
      <c r="F426" s="1" t="s">
        <v>61</v>
      </c>
      <c r="G426" s="2" t="s">
        <v>193</v>
      </c>
      <c r="H426" t="str">
        <f>_xlfn.XLOOKUP(Vet_Visits[[#This Row],[Charge_Code]],Charge_Reference!A:A,Charge_Reference!B:B)</f>
        <v>Nail Trim</v>
      </c>
      <c r="I426" t="s">
        <v>64</v>
      </c>
      <c r="J426" s="3">
        <v>-15.394600000000001</v>
      </c>
      <c r="K426" t="s">
        <v>7</v>
      </c>
    </row>
    <row r="427" spans="1:11" x14ac:dyDescent="0.3">
      <c r="A427" s="4">
        <v>426</v>
      </c>
      <c r="B427" s="4">
        <v>55</v>
      </c>
      <c r="C427" s="4">
        <v>113</v>
      </c>
      <c r="D427" s="1" t="s">
        <v>89</v>
      </c>
      <c r="E427" s="1" t="s">
        <v>29</v>
      </c>
      <c r="F427" s="1" t="s">
        <v>45</v>
      </c>
      <c r="G427" s="2" t="s">
        <v>366</v>
      </c>
      <c r="H427" t="str">
        <f>_xlfn.XLOOKUP(Vet_Visits[[#This Row],[Charge_Code]],Charge_Reference!A:A,Charge_Reference!B:B)</f>
        <v>Dental Cleaning</v>
      </c>
      <c r="I427" t="s">
        <v>47</v>
      </c>
      <c r="J427" s="3">
        <v>354.79910000000001</v>
      </c>
      <c r="K427" t="s">
        <v>5</v>
      </c>
    </row>
    <row r="428" spans="1:11" x14ac:dyDescent="0.3">
      <c r="A428" s="4">
        <v>427</v>
      </c>
      <c r="B428" s="4">
        <v>155</v>
      </c>
      <c r="C428" s="4">
        <v>62</v>
      </c>
      <c r="D428" s="1" t="s">
        <v>101</v>
      </c>
      <c r="E428" s="1" t="s">
        <v>41</v>
      </c>
      <c r="F428" s="1" t="s">
        <v>116</v>
      </c>
      <c r="G428" s="2" t="s">
        <v>231</v>
      </c>
      <c r="H428" t="str">
        <f>_xlfn.XLOOKUP(Vet_Visits[[#This Row],[Charge_Code]],Charge_Reference!A:A,Charge_Reference!B:B)</f>
        <v>Dental Cleaning</v>
      </c>
      <c r="I428" t="s">
        <v>47</v>
      </c>
      <c r="J428" s="3">
        <v>69.934600000000003</v>
      </c>
      <c r="K428" t="s">
        <v>5</v>
      </c>
    </row>
    <row r="429" spans="1:11" x14ac:dyDescent="0.3">
      <c r="A429" s="4">
        <v>428</v>
      </c>
      <c r="B429" s="4">
        <v>156</v>
      </c>
      <c r="C429" s="4">
        <v>11</v>
      </c>
      <c r="D429" s="1" t="s">
        <v>147</v>
      </c>
      <c r="E429" s="1" t="s">
        <v>41</v>
      </c>
      <c r="F429" s="1" t="s">
        <v>116</v>
      </c>
      <c r="G429" s="2" t="s">
        <v>367</v>
      </c>
      <c r="H429" t="str">
        <f>_xlfn.XLOOKUP(Vet_Visits[[#This Row],[Charge_Code]],Charge_Reference!A:A,Charge_Reference!B:B)</f>
        <v>Annual Bloodwork</v>
      </c>
      <c r="I429" t="s">
        <v>40</v>
      </c>
      <c r="J429" s="3">
        <v>15.882</v>
      </c>
      <c r="K429" t="s">
        <v>7</v>
      </c>
    </row>
    <row r="430" spans="1:11" x14ac:dyDescent="0.3">
      <c r="A430" s="4">
        <v>429</v>
      </c>
      <c r="B430" s="4">
        <v>187</v>
      </c>
      <c r="C430" s="4">
        <v>57</v>
      </c>
      <c r="D430" s="1" t="s">
        <v>89</v>
      </c>
      <c r="E430" s="1" t="s">
        <v>41</v>
      </c>
      <c r="F430" s="1" t="s">
        <v>145</v>
      </c>
      <c r="G430" s="2" t="s">
        <v>268</v>
      </c>
      <c r="H430" t="str">
        <f>_xlfn.XLOOKUP(Vet_Visits[[#This Row],[Charge_Code]],Charge_Reference!A:A,Charge_Reference!B:B)</f>
        <v>Dental Cleaning</v>
      </c>
      <c r="I430" t="s">
        <v>47</v>
      </c>
      <c r="J430" s="3">
        <v>28.459700000000002</v>
      </c>
      <c r="K430" t="s">
        <v>5</v>
      </c>
    </row>
    <row r="431" spans="1:11" x14ac:dyDescent="0.3">
      <c r="A431" s="4">
        <v>430</v>
      </c>
      <c r="B431" s="4">
        <v>79</v>
      </c>
      <c r="C431" s="4">
        <v>16</v>
      </c>
      <c r="D431" s="1" t="s">
        <v>28</v>
      </c>
      <c r="E431" s="1" t="s">
        <v>41</v>
      </c>
      <c r="F431" s="1" t="s">
        <v>118</v>
      </c>
      <c r="G431" s="2" t="s">
        <v>306</v>
      </c>
      <c r="H431" t="str">
        <f>_xlfn.XLOOKUP(Vet_Visits[[#This Row],[Charge_Code]],Charge_Reference!A:A,Charge_Reference!B:B)</f>
        <v>Vaccination</v>
      </c>
      <c r="I431" t="s">
        <v>55</v>
      </c>
      <c r="J431" s="3">
        <v>345.41129999999998</v>
      </c>
      <c r="K431" t="s">
        <v>3</v>
      </c>
    </row>
    <row r="432" spans="1:11" x14ac:dyDescent="0.3">
      <c r="A432" s="4">
        <v>431</v>
      </c>
      <c r="B432" s="4">
        <v>197</v>
      </c>
      <c r="C432" s="4">
        <v>96</v>
      </c>
      <c r="D432" s="1" t="s">
        <v>70</v>
      </c>
      <c r="E432" s="1" t="s">
        <v>41</v>
      </c>
      <c r="F432" s="1" t="s">
        <v>38</v>
      </c>
      <c r="G432" s="2" t="s">
        <v>202</v>
      </c>
      <c r="H432" t="str">
        <f>_xlfn.XLOOKUP(Vet_Visits[[#This Row],[Charge_Code]],Charge_Reference!A:A,Charge_Reference!B:B)</f>
        <v>Emergency Visit</v>
      </c>
      <c r="I432" t="s">
        <v>36</v>
      </c>
      <c r="J432" s="3">
        <v>218.51599999999999</v>
      </c>
      <c r="K432" t="s">
        <v>7</v>
      </c>
    </row>
    <row r="433" spans="1:11" x14ac:dyDescent="0.3">
      <c r="A433" s="4">
        <v>432</v>
      </c>
      <c r="B433" s="4">
        <v>191</v>
      </c>
      <c r="C433" s="4">
        <v>65</v>
      </c>
      <c r="D433" s="1" t="s">
        <v>89</v>
      </c>
      <c r="E433" s="1" t="s">
        <v>29</v>
      </c>
      <c r="F433" s="1" t="s">
        <v>87</v>
      </c>
      <c r="G433" s="2" t="s">
        <v>368</v>
      </c>
      <c r="H433" t="str">
        <f>_xlfn.XLOOKUP(Vet_Visits[[#This Row],[Charge_Code]],Charge_Reference!A:A,Charge_Reference!B:B)</f>
        <v>Nail Trim</v>
      </c>
      <c r="I433" t="s">
        <v>64</v>
      </c>
      <c r="J433" s="3">
        <v>696.08249999999998</v>
      </c>
      <c r="K433" t="s">
        <v>5</v>
      </c>
    </row>
    <row r="434" spans="1:11" x14ac:dyDescent="0.3">
      <c r="A434" s="4">
        <v>433</v>
      </c>
      <c r="B434" s="4">
        <v>129</v>
      </c>
      <c r="C434" s="4">
        <v>8</v>
      </c>
      <c r="D434" s="1" t="s">
        <v>120</v>
      </c>
      <c r="E434" s="1" t="s">
        <v>29</v>
      </c>
      <c r="F434" s="1" t="s">
        <v>151</v>
      </c>
      <c r="G434" s="2" t="s">
        <v>251</v>
      </c>
      <c r="H434" t="str">
        <f>_xlfn.XLOOKUP(Vet_Visits[[#This Row],[Charge_Code]],Charge_Reference!A:A,Charge_Reference!B:B)</f>
        <v>Dental Cleaning</v>
      </c>
      <c r="I434" t="s">
        <v>47</v>
      </c>
      <c r="J434" s="3">
        <v>-115.9387</v>
      </c>
      <c r="K434" t="s">
        <v>5</v>
      </c>
    </row>
    <row r="435" spans="1:11" x14ac:dyDescent="0.3">
      <c r="A435" s="4">
        <v>434</v>
      </c>
      <c r="B435" s="4">
        <v>149</v>
      </c>
      <c r="C435" s="4">
        <v>150</v>
      </c>
      <c r="D435" s="1" t="s">
        <v>154</v>
      </c>
      <c r="E435" s="1" t="s">
        <v>41</v>
      </c>
      <c r="F435" s="1" t="s">
        <v>102</v>
      </c>
      <c r="G435" s="2" t="s">
        <v>369</v>
      </c>
      <c r="H435" t="str">
        <f>_xlfn.XLOOKUP(Vet_Visits[[#This Row],[Charge_Code]],Charge_Reference!A:A,Charge_Reference!B:B)</f>
        <v>Radiographs</v>
      </c>
      <c r="I435" t="s">
        <v>51</v>
      </c>
      <c r="J435" s="3">
        <v>-42.471699999999998</v>
      </c>
      <c r="K435" t="s">
        <v>3</v>
      </c>
    </row>
    <row r="436" spans="1:11" x14ac:dyDescent="0.3">
      <c r="A436" s="4">
        <v>435</v>
      </c>
      <c r="B436" s="4">
        <v>50</v>
      </c>
      <c r="C436" s="4">
        <v>32</v>
      </c>
      <c r="D436" s="1" t="s">
        <v>96</v>
      </c>
      <c r="E436" s="1" t="s">
        <v>29</v>
      </c>
      <c r="F436" s="1" t="s">
        <v>71</v>
      </c>
      <c r="G436" s="2" t="s">
        <v>336</v>
      </c>
      <c r="H436" t="str">
        <f>_xlfn.XLOOKUP(Vet_Visits[[#This Row],[Charge_Code]],Charge_Reference!A:A,Charge_Reference!B:B)</f>
        <v>Annual Bloodwork</v>
      </c>
      <c r="I436" t="s">
        <v>40</v>
      </c>
      <c r="J436" s="3">
        <v>272.9402</v>
      </c>
      <c r="K436" t="s">
        <v>5</v>
      </c>
    </row>
    <row r="437" spans="1:11" x14ac:dyDescent="0.3">
      <c r="A437" s="4">
        <v>436</v>
      </c>
      <c r="B437" s="4">
        <v>140</v>
      </c>
      <c r="C437" s="4">
        <v>25</v>
      </c>
      <c r="D437" s="1" t="s">
        <v>93</v>
      </c>
      <c r="E437" s="1" t="s">
        <v>29</v>
      </c>
      <c r="F437" s="1" t="s">
        <v>61</v>
      </c>
      <c r="G437" s="2" t="s">
        <v>137</v>
      </c>
      <c r="H437" t="str">
        <f>_xlfn.XLOOKUP(Vet_Visits[[#This Row],[Charge_Code]],Charge_Reference!A:A,Charge_Reference!B:B)</f>
        <v>Emergency Visit</v>
      </c>
      <c r="I437" t="s">
        <v>36</v>
      </c>
      <c r="J437" s="3">
        <v>750.29740000000004</v>
      </c>
      <c r="K437" t="s">
        <v>5</v>
      </c>
    </row>
    <row r="438" spans="1:11" x14ac:dyDescent="0.3">
      <c r="A438" s="4">
        <v>437</v>
      </c>
      <c r="B438" s="4">
        <v>158</v>
      </c>
      <c r="C438" s="4">
        <v>93</v>
      </c>
      <c r="D438" s="1" t="s">
        <v>142</v>
      </c>
      <c r="E438" s="1" t="s">
        <v>41</v>
      </c>
      <c r="F438" s="1" t="s">
        <v>111</v>
      </c>
      <c r="G438" s="2" t="s">
        <v>370</v>
      </c>
      <c r="H438" t="str">
        <f>_xlfn.XLOOKUP(Vet_Visits[[#This Row],[Charge_Code]],Charge_Reference!A:A,Charge_Reference!B:B)</f>
        <v>Dental Cleaning</v>
      </c>
      <c r="I438" t="s">
        <v>47</v>
      </c>
      <c r="J438" s="3">
        <v>268.58390000000003</v>
      </c>
      <c r="K438" t="s">
        <v>5</v>
      </c>
    </row>
    <row r="439" spans="1:11" x14ac:dyDescent="0.3">
      <c r="A439" s="4">
        <v>438</v>
      </c>
      <c r="B439" s="4">
        <v>142</v>
      </c>
      <c r="C439" s="4">
        <v>122</v>
      </c>
      <c r="D439" s="1" t="s">
        <v>60</v>
      </c>
      <c r="E439" s="1" t="s">
        <v>29</v>
      </c>
      <c r="F439" s="1" t="s">
        <v>97</v>
      </c>
      <c r="G439" s="2" t="s">
        <v>371</v>
      </c>
      <c r="H439" t="str">
        <f>_xlfn.XLOOKUP(Vet_Visits[[#This Row],[Charge_Code]],Charge_Reference!A:A,Charge_Reference!B:B)</f>
        <v>Office Visit</v>
      </c>
      <c r="I439" t="s">
        <v>59</v>
      </c>
      <c r="J439" s="3">
        <v>216.01060000000001</v>
      </c>
      <c r="K439" t="s">
        <v>5</v>
      </c>
    </row>
    <row r="440" spans="1:11" x14ac:dyDescent="0.3">
      <c r="A440" s="4">
        <v>439</v>
      </c>
      <c r="B440" s="4">
        <v>10</v>
      </c>
      <c r="C440" s="4">
        <v>5</v>
      </c>
      <c r="D440" s="1" t="s">
        <v>60</v>
      </c>
      <c r="E440" s="1" t="s">
        <v>29</v>
      </c>
      <c r="F440" s="1" t="s">
        <v>66</v>
      </c>
      <c r="G440" s="2" t="s">
        <v>323</v>
      </c>
      <c r="H440" t="str">
        <f>_xlfn.XLOOKUP(Vet_Visits[[#This Row],[Charge_Code]],Charge_Reference!A:A,Charge_Reference!B:B)</f>
        <v>Nail Trim</v>
      </c>
      <c r="I440" t="s">
        <v>64</v>
      </c>
      <c r="J440" s="3">
        <v>625.23009999999999</v>
      </c>
      <c r="K440" t="s">
        <v>5</v>
      </c>
    </row>
    <row r="441" spans="1:11" x14ac:dyDescent="0.3">
      <c r="A441" s="4">
        <v>440</v>
      </c>
      <c r="B441" s="4">
        <v>16</v>
      </c>
      <c r="C441" s="4">
        <v>101</v>
      </c>
      <c r="D441" s="1" t="s">
        <v>130</v>
      </c>
      <c r="E441" s="1" t="s">
        <v>29</v>
      </c>
      <c r="F441" s="1" t="s">
        <v>94</v>
      </c>
      <c r="G441" s="2" t="s">
        <v>202</v>
      </c>
      <c r="H441" t="str">
        <f>_xlfn.XLOOKUP(Vet_Visits[[#This Row],[Charge_Code]],Charge_Reference!A:A,Charge_Reference!B:B)</f>
        <v>Annual Bloodwork</v>
      </c>
      <c r="I441" t="s">
        <v>40</v>
      </c>
      <c r="J441" s="3">
        <v>561.62599999999998</v>
      </c>
      <c r="K441" t="s">
        <v>3</v>
      </c>
    </row>
    <row r="442" spans="1:11" x14ac:dyDescent="0.3">
      <c r="A442" s="4">
        <v>441</v>
      </c>
      <c r="B442" s="4">
        <v>151</v>
      </c>
      <c r="C442" s="4">
        <v>10</v>
      </c>
      <c r="D442" s="1" t="s">
        <v>89</v>
      </c>
      <c r="E442" s="1" t="s">
        <v>29</v>
      </c>
      <c r="F442" s="1" t="s">
        <v>104</v>
      </c>
      <c r="G442" s="2" t="s">
        <v>372</v>
      </c>
      <c r="H442" t="str">
        <f>_xlfn.XLOOKUP(Vet_Visits[[#This Row],[Charge_Code]],Charge_Reference!A:A,Charge_Reference!B:B)</f>
        <v>Office Visit</v>
      </c>
      <c r="I442" t="s">
        <v>59</v>
      </c>
      <c r="J442" s="3">
        <v>198.31469999999999</v>
      </c>
      <c r="K442" t="s">
        <v>7</v>
      </c>
    </row>
    <row r="443" spans="1:11" x14ac:dyDescent="0.3">
      <c r="A443" s="4">
        <v>442</v>
      </c>
      <c r="B443" s="4">
        <v>119</v>
      </c>
      <c r="C443" s="4">
        <v>80</v>
      </c>
      <c r="D443" s="1" t="s">
        <v>56</v>
      </c>
      <c r="E443" s="1" t="s">
        <v>41</v>
      </c>
      <c r="F443" s="1" t="s">
        <v>94</v>
      </c>
      <c r="G443" s="2" t="s">
        <v>359</v>
      </c>
      <c r="H443" t="str">
        <f>_xlfn.XLOOKUP(Vet_Visits[[#This Row],[Charge_Code]],Charge_Reference!A:A,Charge_Reference!B:B)</f>
        <v>Annual Bloodwork</v>
      </c>
      <c r="I443" t="s">
        <v>40</v>
      </c>
      <c r="J443" s="3">
        <v>41.808</v>
      </c>
      <c r="K443" t="s">
        <v>5</v>
      </c>
    </row>
    <row r="444" spans="1:11" x14ac:dyDescent="0.3">
      <c r="A444" s="4">
        <v>443</v>
      </c>
      <c r="B444" s="4">
        <v>97</v>
      </c>
      <c r="C444" s="4">
        <v>63</v>
      </c>
      <c r="D444" s="1" t="s">
        <v>142</v>
      </c>
      <c r="E444" s="1" t="s">
        <v>29</v>
      </c>
      <c r="F444" s="1" t="s">
        <v>102</v>
      </c>
      <c r="G444" s="2" t="s">
        <v>150</v>
      </c>
      <c r="H444" t="str">
        <f>_xlfn.XLOOKUP(Vet_Visits[[#This Row],[Charge_Code]],Charge_Reference!A:A,Charge_Reference!B:B)</f>
        <v>Vaccination</v>
      </c>
      <c r="I444" t="s">
        <v>55</v>
      </c>
      <c r="J444" s="3">
        <v>14.260400000000001</v>
      </c>
      <c r="K444" t="s">
        <v>3</v>
      </c>
    </row>
    <row r="445" spans="1:11" x14ac:dyDescent="0.3">
      <c r="A445" s="4">
        <v>444</v>
      </c>
      <c r="B445" s="4">
        <v>145</v>
      </c>
      <c r="C445" s="4">
        <v>97</v>
      </c>
      <c r="D445" s="1" t="s">
        <v>28</v>
      </c>
      <c r="E445" s="1" t="s">
        <v>41</v>
      </c>
      <c r="F445" s="1" t="s">
        <v>116</v>
      </c>
      <c r="G445" s="2" t="s">
        <v>373</v>
      </c>
      <c r="H445" t="str">
        <f>_xlfn.XLOOKUP(Vet_Visits[[#This Row],[Charge_Code]],Charge_Reference!A:A,Charge_Reference!B:B)</f>
        <v>Annual Bloodwork</v>
      </c>
      <c r="I445" t="s">
        <v>40</v>
      </c>
      <c r="J445" s="3">
        <v>320.67250000000001</v>
      </c>
      <c r="K445" t="s">
        <v>5</v>
      </c>
    </row>
    <row r="446" spans="1:11" x14ac:dyDescent="0.3">
      <c r="A446" s="4">
        <v>445</v>
      </c>
      <c r="B446" s="4">
        <v>99</v>
      </c>
      <c r="C446" s="4">
        <v>150</v>
      </c>
      <c r="D446" s="1" t="s">
        <v>176</v>
      </c>
      <c r="E446" s="1" t="s">
        <v>41</v>
      </c>
      <c r="F446" s="1" t="s">
        <v>49</v>
      </c>
      <c r="G446" s="2" t="s">
        <v>58</v>
      </c>
      <c r="H446" t="str">
        <f>_xlfn.XLOOKUP(Vet_Visits[[#This Row],[Charge_Code]],Charge_Reference!A:A,Charge_Reference!B:B)</f>
        <v>Vaccination</v>
      </c>
      <c r="I446" t="s">
        <v>55</v>
      </c>
      <c r="J446" s="3">
        <v>335.90519999999998</v>
      </c>
      <c r="K446" t="s">
        <v>3</v>
      </c>
    </row>
    <row r="447" spans="1:11" x14ac:dyDescent="0.3">
      <c r="A447" s="4">
        <v>446</v>
      </c>
      <c r="B447" s="4">
        <v>59</v>
      </c>
      <c r="C447" s="4">
        <v>101</v>
      </c>
      <c r="D447" s="1" t="s">
        <v>162</v>
      </c>
      <c r="E447" s="1" t="s">
        <v>29</v>
      </c>
      <c r="F447" s="1" t="s">
        <v>111</v>
      </c>
      <c r="G447" s="2" t="s">
        <v>374</v>
      </c>
      <c r="H447" t="str">
        <f>_xlfn.XLOOKUP(Vet_Visits[[#This Row],[Charge_Code]],Charge_Reference!A:A,Charge_Reference!B:B)</f>
        <v>Annual Bloodwork</v>
      </c>
      <c r="I447" t="s">
        <v>40</v>
      </c>
      <c r="J447" s="3">
        <v>-101.4098</v>
      </c>
      <c r="K447" t="s">
        <v>7</v>
      </c>
    </row>
    <row r="448" spans="1:11" x14ac:dyDescent="0.3">
      <c r="A448" s="4">
        <v>447</v>
      </c>
      <c r="B448" s="4">
        <v>77</v>
      </c>
      <c r="C448" s="4">
        <v>141</v>
      </c>
      <c r="D448" s="1" t="s">
        <v>33</v>
      </c>
      <c r="E448" s="1" t="s">
        <v>41</v>
      </c>
      <c r="F448" s="1" t="s">
        <v>107</v>
      </c>
      <c r="G448" s="2" t="s">
        <v>375</v>
      </c>
      <c r="H448" t="str">
        <f>_xlfn.XLOOKUP(Vet_Visits[[#This Row],[Charge_Code]],Charge_Reference!A:A,Charge_Reference!B:B)</f>
        <v>Nail Trim</v>
      </c>
      <c r="I448" t="s">
        <v>64</v>
      </c>
      <c r="J448" s="3">
        <v>487.64760000000001</v>
      </c>
      <c r="K448" t="s">
        <v>3</v>
      </c>
    </row>
    <row r="449" spans="1:11" x14ac:dyDescent="0.3">
      <c r="A449" s="4">
        <v>448</v>
      </c>
      <c r="B449" s="4">
        <v>133</v>
      </c>
      <c r="C449" s="4">
        <v>104</v>
      </c>
      <c r="D449" s="1" t="s">
        <v>185</v>
      </c>
      <c r="E449" s="1" t="s">
        <v>41</v>
      </c>
      <c r="F449" s="1" t="s">
        <v>135</v>
      </c>
      <c r="G449" s="2" t="s">
        <v>376</v>
      </c>
      <c r="H449" t="str">
        <f>_xlfn.XLOOKUP(Vet_Visits[[#This Row],[Charge_Code]],Charge_Reference!A:A,Charge_Reference!B:B)</f>
        <v>Vaccination</v>
      </c>
      <c r="I449" t="s">
        <v>55</v>
      </c>
      <c r="J449" s="3">
        <v>-74.623000000000005</v>
      </c>
      <c r="K449" t="s">
        <v>5</v>
      </c>
    </row>
    <row r="450" spans="1:11" x14ac:dyDescent="0.3">
      <c r="A450" s="4">
        <v>449</v>
      </c>
      <c r="B450" s="4">
        <v>113</v>
      </c>
      <c r="C450" s="4">
        <v>131</v>
      </c>
      <c r="D450" s="1" t="s">
        <v>312</v>
      </c>
      <c r="E450" s="1" t="s">
        <v>41</v>
      </c>
      <c r="F450" s="1" t="s">
        <v>104</v>
      </c>
      <c r="G450" s="2" t="s">
        <v>377</v>
      </c>
      <c r="H450" t="str">
        <f>_xlfn.XLOOKUP(Vet_Visits[[#This Row],[Charge_Code]],Charge_Reference!A:A,Charge_Reference!B:B)</f>
        <v>Dental Cleaning</v>
      </c>
      <c r="I450" t="s">
        <v>47</v>
      </c>
      <c r="J450" s="3">
        <v>413.75779999999997</v>
      </c>
      <c r="K450" t="s">
        <v>5</v>
      </c>
    </row>
    <row r="451" spans="1:11" x14ac:dyDescent="0.3">
      <c r="A451" s="4">
        <v>450</v>
      </c>
      <c r="B451" s="4">
        <v>185</v>
      </c>
      <c r="C451" s="4">
        <v>31</v>
      </c>
      <c r="D451" s="1" t="s">
        <v>126</v>
      </c>
      <c r="E451" s="1" t="s">
        <v>41</v>
      </c>
      <c r="F451" s="1" t="s">
        <v>49</v>
      </c>
      <c r="G451" s="2" t="s">
        <v>378</v>
      </c>
      <c r="H451" t="str">
        <f>_xlfn.XLOOKUP(Vet_Visits[[#This Row],[Charge_Code]],Charge_Reference!A:A,Charge_Reference!B:B)</f>
        <v>Office Visit</v>
      </c>
      <c r="I451" t="s">
        <v>59</v>
      </c>
      <c r="J451" s="3">
        <v>516.97379999999998</v>
      </c>
      <c r="K451" t="s">
        <v>5</v>
      </c>
    </row>
    <row r="452" spans="1:11" x14ac:dyDescent="0.3">
      <c r="A452" s="4">
        <v>451</v>
      </c>
      <c r="B452" s="4">
        <v>100</v>
      </c>
      <c r="C452" s="4">
        <v>89</v>
      </c>
      <c r="D452" s="1" t="s">
        <v>158</v>
      </c>
      <c r="E452" s="1" t="s">
        <v>29</v>
      </c>
      <c r="F452" s="1" t="s">
        <v>160</v>
      </c>
      <c r="G452" s="2" t="s">
        <v>330</v>
      </c>
      <c r="H452" t="str">
        <f>_xlfn.XLOOKUP(Vet_Visits[[#This Row],[Charge_Code]],Charge_Reference!A:A,Charge_Reference!B:B)</f>
        <v>Vaccination</v>
      </c>
      <c r="I452" t="s">
        <v>55</v>
      </c>
      <c r="J452" s="3">
        <v>772.51300000000003</v>
      </c>
      <c r="K452" t="s">
        <v>5</v>
      </c>
    </row>
    <row r="453" spans="1:11" x14ac:dyDescent="0.3">
      <c r="A453" s="4">
        <v>452</v>
      </c>
      <c r="B453" s="4">
        <v>90</v>
      </c>
      <c r="C453" s="4">
        <v>100</v>
      </c>
      <c r="D453" s="1" t="s">
        <v>91</v>
      </c>
      <c r="E453" s="1" t="s">
        <v>29</v>
      </c>
      <c r="F453" s="1" t="s">
        <v>171</v>
      </c>
      <c r="G453" s="2" t="s">
        <v>164</v>
      </c>
      <c r="H453" t="str">
        <f>_xlfn.XLOOKUP(Vet_Visits[[#This Row],[Charge_Code]],Charge_Reference!A:A,Charge_Reference!B:B)</f>
        <v>Nail Trim</v>
      </c>
      <c r="I453" t="s">
        <v>64</v>
      </c>
      <c r="J453" s="3">
        <v>-265.10730000000001</v>
      </c>
      <c r="K453" t="s">
        <v>5</v>
      </c>
    </row>
    <row r="454" spans="1:11" x14ac:dyDescent="0.3">
      <c r="A454" s="4">
        <v>453</v>
      </c>
      <c r="B454" s="4">
        <v>186</v>
      </c>
      <c r="C454" s="4">
        <v>35</v>
      </c>
      <c r="D454" s="1" t="s">
        <v>33</v>
      </c>
      <c r="E454" s="1" t="s">
        <v>41</v>
      </c>
      <c r="F454" s="1" t="s">
        <v>57</v>
      </c>
      <c r="G454" s="2" t="s">
        <v>79</v>
      </c>
      <c r="H454" t="str">
        <f>_xlfn.XLOOKUP(Vet_Visits[[#This Row],[Charge_Code]],Charge_Reference!A:A,Charge_Reference!B:B)</f>
        <v>Annual Bloodwork</v>
      </c>
      <c r="I454" t="s">
        <v>40</v>
      </c>
      <c r="J454" s="3">
        <v>751.71759999999995</v>
      </c>
      <c r="K454" t="s">
        <v>5</v>
      </c>
    </row>
    <row r="455" spans="1:11" x14ac:dyDescent="0.3">
      <c r="A455" s="4">
        <v>454</v>
      </c>
      <c r="B455" s="4">
        <v>109</v>
      </c>
      <c r="C455" s="4">
        <v>1</v>
      </c>
      <c r="D455" s="1" t="s">
        <v>179</v>
      </c>
      <c r="E455" s="1" t="s">
        <v>29</v>
      </c>
      <c r="F455" s="1" t="s">
        <v>87</v>
      </c>
      <c r="G455" s="2" t="s">
        <v>210</v>
      </c>
      <c r="H455" t="str">
        <f>_xlfn.XLOOKUP(Vet_Visits[[#This Row],[Charge_Code]],Charge_Reference!A:A,Charge_Reference!B:B)</f>
        <v>Surgery</v>
      </c>
      <c r="I455" t="s">
        <v>32</v>
      </c>
      <c r="J455" s="3">
        <v>-196.24629999999999</v>
      </c>
      <c r="K455" t="s">
        <v>3</v>
      </c>
    </row>
    <row r="456" spans="1:11" x14ac:dyDescent="0.3">
      <c r="A456" s="4">
        <v>455</v>
      </c>
      <c r="B456" s="4">
        <v>158</v>
      </c>
      <c r="C456" s="4">
        <v>11</v>
      </c>
      <c r="D456" s="1" t="s">
        <v>312</v>
      </c>
      <c r="E456" s="1" t="s">
        <v>41</v>
      </c>
      <c r="F456" s="1" t="s">
        <v>107</v>
      </c>
      <c r="G456" s="2" t="s">
        <v>58</v>
      </c>
      <c r="H456" t="str">
        <f>_xlfn.XLOOKUP(Vet_Visits[[#This Row],[Charge_Code]],Charge_Reference!A:A,Charge_Reference!B:B)</f>
        <v>Surgery</v>
      </c>
      <c r="I456" t="s">
        <v>32</v>
      </c>
      <c r="J456" s="3">
        <v>411.00389999999999</v>
      </c>
      <c r="K456" t="s">
        <v>5</v>
      </c>
    </row>
    <row r="457" spans="1:11" x14ac:dyDescent="0.3">
      <c r="A457" s="4">
        <v>456</v>
      </c>
      <c r="B457" s="4">
        <v>96</v>
      </c>
      <c r="C457" s="4">
        <v>34</v>
      </c>
      <c r="D457" s="1" t="s">
        <v>312</v>
      </c>
      <c r="E457" s="1" t="s">
        <v>41</v>
      </c>
      <c r="F457" s="1" t="s">
        <v>87</v>
      </c>
      <c r="G457" s="2" t="s">
        <v>379</v>
      </c>
      <c r="H457" t="str">
        <f>_xlfn.XLOOKUP(Vet_Visits[[#This Row],[Charge_Code]],Charge_Reference!A:A,Charge_Reference!B:B)</f>
        <v>Surgery</v>
      </c>
      <c r="I457" t="s">
        <v>32</v>
      </c>
      <c r="J457" s="3">
        <v>-146.6465</v>
      </c>
      <c r="K457" t="s">
        <v>7</v>
      </c>
    </row>
    <row r="458" spans="1:11" x14ac:dyDescent="0.3">
      <c r="A458" s="4">
        <v>457</v>
      </c>
      <c r="B458" s="4">
        <v>91</v>
      </c>
      <c r="C458" s="4">
        <v>43</v>
      </c>
      <c r="D458" s="1" t="s">
        <v>28</v>
      </c>
      <c r="E458" s="1" t="s">
        <v>41</v>
      </c>
      <c r="F458" s="1" t="s">
        <v>87</v>
      </c>
      <c r="G458" s="2" t="s">
        <v>260</v>
      </c>
      <c r="H458" t="str">
        <f>_xlfn.XLOOKUP(Vet_Visits[[#This Row],[Charge_Code]],Charge_Reference!A:A,Charge_Reference!B:B)</f>
        <v>Nail Trim</v>
      </c>
      <c r="I458" t="s">
        <v>64</v>
      </c>
      <c r="J458" s="3">
        <v>887.30089999999996</v>
      </c>
      <c r="K458" t="s">
        <v>3</v>
      </c>
    </row>
    <row r="459" spans="1:11" x14ac:dyDescent="0.3">
      <c r="A459" s="4">
        <v>458</v>
      </c>
      <c r="B459" s="4">
        <v>84</v>
      </c>
      <c r="C459" s="4">
        <v>48</v>
      </c>
      <c r="D459" s="1" t="s">
        <v>60</v>
      </c>
      <c r="E459" s="1" t="s">
        <v>29</v>
      </c>
      <c r="F459" s="1" t="s">
        <v>49</v>
      </c>
      <c r="G459" s="2" t="s">
        <v>173</v>
      </c>
      <c r="H459" t="str">
        <f>_xlfn.XLOOKUP(Vet_Visits[[#This Row],[Charge_Code]],Charge_Reference!A:A,Charge_Reference!B:B)</f>
        <v>Vaccination</v>
      </c>
      <c r="I459" t="s">
        <v>55</v>
      </c>
      <c r="J459" s="3">
        <v>548.89779999999996</v>
      </c>
      <c r="K459" t="s">
        <v>7</v>
      </c>
    </row>
    <row r="460" spans="1:11" x14ac:dyDescent="0.3">
      <c r="A460" s="4">
        <v>459</v>
      </c>
      <c r="B460" s="4">
        <v>130</v>
      </c>
      <c r="C460" s="4">
        <v>123</v>
      </c>
      <c r="D460" s="1" t="s">
        <v>56</v>
      </c>
      <c r="E460" s="1" t="s">
        <v>29</v>
      </c>
      <c r="F460" s="1" t="s">
        <v>30</v>
      </c>
      <c r="G460" s="2" t="s">
        <v>295</v>
      </c>
      <c r="H460" t="str">
        <f>_xlfn.XLOOKUP(Vet_Visits[[#This Row],[Charge_Code]],Charge_Reference!A:A,Charge_Reference!B:B)</f>
        <v>Radiographs</v>
      </c>
      <c r="I460" t="s">
        <v>51</v>
      </c>
      <c r="J460" s="3">
        <v>-278.65839999999997</v>
      </c>
      <c r="K460" t="s">
        <v>3</v>
      </c>
    </row>
    <row r="461" spans="1:11" x14ac:dyDescent="0.3">
      <c r="A461" s="4">
        <v>460</v>
      </c>
      <c r="B461" s="4">
        <v>183</v>
      </c>
      <c r="C461" s="4">
        <v>94</v>
      </c>
      <c r="D461" s="1" t="s">
        <v>185</v>
      </c>
      <c r="E461" s="1" t="s">
        <v>29</v>
      </c>
      <c r="F461" s="1" t="s">
        <v>102</v>
      </c>
      <c r="G461" s="2" t="s">
        <v>133</v>
      </c>
      <c r="H461" t="str">
        <f>_xlfn.XLOOKUP(Vet_Visits[[#This Row],[Charge_Code]],Charge_Reference!A:A,Charge_Reference!B:B)</f>
        <v>Emergency Visit</v>
      </c>
      <c r="I461" t="s">
        <v>36</v>
      </c>
      <c r="J461" s="3">
        <v>87.957400000000007</v>
      </c>
      <c r="K461" t="s">
        <v>5</v>
      </c>
    </row>
    <row r="462" spans="1:11" x14ac:dyDescent="0.3">
      <c r="A462" s="4">
        <v>461</v>
      </c>
      <c r="B462" s="4">
        <v>193</v>
      </c>
      <c r="C462" s="4">
        <v>128</v>
      </c>
      <c r="D462" s="1" t="s">
        <v>149</v>
      </c>
      <c r="E462" s="1" t="s">
        <v>41</v>
      </c>
      <c r="F462" s="1" t="s">
        <v>111</v>
      </c>
      <c r="G462" s="2" t="s">
        <v>223</v>
      </c>
      <c r="H462" t="str">
        <f>_xlfn.XLOOKUP(Vet_Visits[[#This Row],[Charge_Code]],Charge_Reference!A:A,Charge_Reference!B:B)</f>
        <v>Radiographs</v>
      </c>
      <c r="I462" t="s">
        <v>51</v>
      </c>
      <c r="J462" s="3">
        <v>916.63469999999995</v>
      </c>
      <c r="K462" t="s">
        <v>5</v>
      </c>
    </row>
    <row r="463" spans="1:11" x14ac:dyDescent="0.3">
      <c r="A463" s="4">
        <v>462</v>
      </c>
      <c r="B463" s="4">
        <v>33</v>
      </c>
      <c r="C463" s="4">
        <v>67</v>
      </c>
      <c r="D463" s="1" t="s">
        <v>60</v>
      </c>
      <c r="E463" s="1" t="s">
        <v>29</v>
      </c>
      <c r="F463" s="1" t="s">
        <v>53</v>
      </c>
      <c r="G463" s="2" t="s">
        <v>105</v>
      </c>
      <c r="H463" t="str">
        <f>_xlfn.XLOOKUP(Vet_Visits[[#This Row],[Charge_Code]],Charge_Reference!A:A,Charge_Reference!B:B)</f>
        <v>Office Visit</v>
      </c>
      <c r="I463" t="s">
        <v>59</v>
      </c>
      <c r="J463" s="3">
        <v>896.42859999999996</v>
      </c>
      <c r="K463" t="s">
        <v>3</v>
      </c>
    </row>
    <row r="464" spans="1:11" x14ac:dyDescent="0.3">
      <c r="A464" s="4">
        <v>463</v>
      </c>
      <c r="B464" s="4">
        <v>63</v>
      </c>
      <c r="C464" s="4">
        <v>115</v>
      </c>
      <c r="D464" s="1" t="s">
        <v>179</v>
      </c>
      <c r="E464" s="1" t="s">
        <v>29</v>
      </c>
      <c r="F464" s="1" t="s">
        <v>151</v>
      </c>
      <c r="G464" s="2" t="s">
        <v>69</v>
      </c>
      <c r="H464" t="str">
        <f>_xlfn.XLOOKUP(Vet_Visits[[#This Row],[Charge_Code]],Charge_Reference!A:A,Charge_Reference!B:B)</f>
        <v>Vaccination</v>
      </c>
      <c r="I464" t="s">
        <v>55</v>
      </c>
      <c r="J464" s="3">
        <v>199.376</v>
      </c>
      <c r="K464" t="s">
        <v>5</v>
      </c>
    </row>
    <row r="465" spans="1:11" x14ac:dyDescent="0.3">
      <c r="A465" s="4">
        <v>464</v>
      </c>
      <c r="B465" s="4">
        <v>86</v>
      </c>
      <c r="C465" s="4">
        <v>24</v>
      </c>
      <c r="D465" s="1" t="s">
        <v>84</v>
      </c>
      <c r="E465" s="1" t="s">
        <v>29</v>
      </c>
      <c r="F465" s="1" t="s">
        <v>151</v>
      </c>
      <c r="G465" s="2" t="s">
        <v>192</v>
      </c>
      <c r="H465" t="str">
        <f>_xlfn.XLOOKUP(Vet_Visits[[#This Row],[Charge_Code]],Charge_Reference!A:A,Charge_Reference!B:B)</f>
        <v>Dental Cleaning</v>
      </c>
      <c r="I465" t="s">
        <v>47</v>
      </c>
      <c r="J465" s="3">
        <v>538.90639999999996</v>
      </c>
      <c r="K465" t="s">
        <v>5</v>
      </c>
    </row>
    <row r="466" spans="1:11" x14ac:dyDescent="0.3">
      <c r="A466" s="4">
        <v>465</v>
      </c>
      <c r="B466" s="4">
        <v>199</v>
      </c>
      <c r="C466" s="4">
        <v>35</v>
      </c>
      <c r="D466" s="1" t="s">
        <v>230</v>
      </c>
      <c r="E466" s="1" t="s">
        <v>29</v>
      </c>
      <c r="F466" s="1" t="s">
        <v>61</v>
      </c>
      <c r="G466" s="2" t="s">
        <v>292</v>
      </c>
      <c r="H466" t="str">
        <f>_xlfn.XLOOKUP(Vet_Visits[[#This Row],[Charge_Code]],Charge_Reference!A:A,Charge_Reference!B:B)</f>
        <v>Vaccination</v>
      </c>
      <c r="I466" t="s">
        <v>55</v>
      </c>
      <c r="J466" s="3">
        <v>38.111499999999999</v>
      </c>
      <c r="K466" t="s">
        <v>7</v>
      </c>
    </row>
    <row r="467" spans="1:11" x14ac:dyDescent="0.3">
      <c r="A467" s="4">
        <v>466</v>
      </c>
      <c r="B467" s="4">
        <v>152</v>
      </c>
      <c r="C467" s="4">
        <v>43</v>
      </c>
      <c r="D467" s="1" t="s">
        <v>48</v>
      </c>
      <c r="E467" s="1" t="s">
        <v>29</v>
      </c>
      <c r="F467" s="1" t="s">
        <v>151</v>
      </c>
      <c r="G467" s="2" t="s">
        <v>137</v>
      </c>
      <c r="H467" t="str">
        <f>_xlfn.XLOOKUP(Vet_Visits[[#This Row],[Charge_Code]],Charge_Reference!A:A,Charge_Reference!B:B)</f>
        <v>Radiographs</v>
      </c>
      <c r="I467" t="s">
        <v>51</v>
      </c>
      <c r="J467" s="3">
        <v>199.2912</v>
      </c>
      <c r="K467" t="s">
        <v>5</v>
      </c>
    </row>
    <row r="468" spans="1:11" x14ac:dyDescent="0.3">
      <c r="A468" s="4">
        <v>467</v>
      </c>
      <c r="B468" s="4">
        <v>65</v>
      </c>
      <c r="C468" s="4">
        <v>10</v>
      </c>
      <c r="D468" s="1" t="s">
        <v>84</v>
      </c>
      <c r="E468" s="1" t="s">
        <v>41</v>
      </c>
      <c r="F468" s="1" t="s">
        <v>135</v>
      </c>
      <c r="G468" s="2" t="s">
        <v>380</v>
      </c>
      <c r="H468" t="str">
        <f>_xlfn.XLOOKUP(Vet_Visits[[#This Row],[Charge_Code]],Charge_Reference!A:A,Charge_Reference!B:B)</f>
        <v>Dental Cleaning</v>
      </c>
      <c r="I468" t="s">
        <v>47</v>
      </c>
      <c r="J468" s="3">
        <v>233.59800000000001</v>
      </c>
      <c r="K468" t="s">
        <v>5</v>
      </c>
    </row>
    <row r="469" spans="1:11" x14ac:dyDescent="0.3">
      <c r="A469" s="4">
        <v>468</v>
      </c>
      <c r="B469" s="4">
        <v>23</v>
      </c>
      <c r="C469" s="4">
        <v>13</v>
      </c>
      <c r="D469" s="1" t="s">
        <v>75</v>
      </c>
      <c r="E469" s="1" t="s">
        <v>41</v>
      </c>
      <c r="F469" s="1" t="s">
        <v>145</v>
      </c>
      <c r="G469" s="2" t="s">
        <v>381</v>
      </c>
      <c r="H469" t="str">
        <f>_xlfn.XLOOKUP(Vet_Visits[[#This Row],[Charge_Code]],Charge_Reference!A:A,Charge_Reference!B:B)</f>
        <v>Office Visit</v>
      </c>
      <c r="I469" t="s">
        <v>59</v>
      </c>
      <c r="J469" s="3">
        <v>-203.86930000000001</v>
      </c>
      <c r="K469" t="s">
        <v>5</v>
      </c>
    </row>
    <row r="470" spans="1:11" x14ac:dyDescent="0.3">
      <c r="A470" s="4">
        <v>469</v>
      </c>
      <c r="B470" s="4">
        <v>90</v>
      </c>
      <c r="C470" s="4">
        <v>4</v>
      </c>
      <c r="D470" s="1" t="s">
        <v>65</v>
      </c>
      <c r="E470" s="1" t="s">
        <v>41</v>
      </c>
      <c r="F470" s="1" t="s">
        <v>53</v>
      </c>
      <c r="G470" s="2" t="s">
        <v>280</v>
      </c>
      <c r="H470" t="str">
        <f>_xlfn.XLOOKUP(Vet_Visits[[#This Row],[Charge_Code]],Charge_Reference!A:A,Charge_Reference!B:B)</f>
        <v>Radiographs</v>
      </c>
      <c r="I470" t="s">
        <v>51</v>
      </c>
      <c r="J470" s="3">
        <v>994.31970000000001</v>
      </c>
      <c r="K470" t="s">
        <v>5</v>
      </c>
    </row>
    <row r="471" spans="1:11" x14ac:dyDescent="0.3">
      <c r="A471" s="4">
        <v>470</v>
      </c>
      <c r="B471" s="4">
        <v>100</v>
      </c>
      <c r="C471" s="4">
        <v>50</v>
      </c>
      <c r="D471" s="1" t="s">
        <v>126</v>
      </c>
      <c r="E471" s="1" t="s">
        <v>41</v>
      </c>
      <c r="F471" s="1" t="s">
        <v>57</v>
      </c>
      <c r="G471" s="2" t="s">
        <v>74</v>
      </c>
      <c r="H471" t="str">
        <f>_xlfn.XLOOKUP(Vet_Visits[[#This Row],[Charge_Code]],Charge_Reference!A:A,Charge_Reference!B:B)</f>
        <v>Vaccination</v>
      </c>
      <c r="I471" t="s">
        <v>55</v>
      </c>
      <c r="J471" s="3">
        <v>183.8295</v>
      </c>
      <c r="K471" t="s">
        <v>3</v>
      </c>
    </row>
    <row r="472" spans="1:11" x14ac:dyDescent="0.3">
      <c r="A472" s="4">
        <v>471</v>
      </c>
      <c r="B472" s="4">
        <v>136</v>
      </c>
      <c r="C472" s="4">
        <v>38</v>
      </c>
      <c r="D472" s="1" t="s">
        <v>48</v>
      </c>
      <c r="E472" s="1" t="s">
        <v>29</v>
      </c>
      <c r="F472" s="1" t="s">
        <v>73</v>
      </c>
      <c r="G472" s="2" t="s">
        <v>254</v>
      </c>
      <c r="H472" t="str">
        <f>_xlfn.XLOOKUP(Vet_Visits[[#This Row],[Charge_Code]],Charge_Reference!A:A,Charge_Reference!B:B)</f>
        <v>Emergency Visit</v>
      </c>
      <c r="I472" t="s">
        <v>36</v>
      </c>
      <c r="J472" s="3">
        <v>272.73950000000002</v>
      </c>
      <c r="K472" t="s">
        <v>7</v>
      </c>
    </row>
    <row r="473" spans="1:11" x14ac:dyDescent="0.3">
      <c r="A473" s="4">
        <v>472</v>
      </c>
      <c r="B473" s="4">
        <v>161</v>
      </c>
      <c r="C473" s="4">
        <v>11</v>
      </c>
      <c r="D473" s="1" t="s">
        <v>188</v>
      </c>
      <c r="E473" s="1" t="s">
        <v>29</v>
      </c>
      <c r="F473" s="1" t="s">
        <v>135</v>
      </c>
      <c r="G473" s="2" t="s">
        <v>382</v>
      </c>
      <c r="H473" t="str">
        <f>_xlfn.XLOOKUP(Vet_Visits[[#This Row],[Charge_Code]],Charge_Reference!A:A,Charge_Reference!B:B)</f>
        <v>Emergency Visit</v>
      </c>
      <c r="I473" t="s">
        <v>36</v>
      </c>
      <c r="J473" s="3">
        <v>679.79880000000003</v>
      </c>
      <c r="K473" t="s">
        <v>3</v>
      </c>
    </row>
    <row r="474" spans="1:11" x14ac:dyDescent="0.3">
      <c r="A474" s="4">
        <v>473</v>
      </c>
      <c r="B474" s="4">
        <v>21</v>
      </c>
      <c r="C474" s="4">
        <v>20</v>
      </c>
      <c r="D474" s="1" t="s">
        <v>113</v>
      </c>
      <c r="E474" s="1" t="s">
        <v>41</v>
      </c>
      <c r="F474" s="1" t="s">
        <v>38</v>
      </c>
      <c r="G474" s="2" t="s">
        <v>228</v>
      </c>
      <c r="H474" t="str">
        <f>_xlfn.XLOOKUP(Vet_Visits[[#This Row],[Charge_Code]],Charge_Reference!A:A,Charge_Reference!B:B)</f>
        <v>Dental Cleaning</v>
      </c>
      <c r="I474" t="s">
        <v>47</v>
      </c>
      <c r="J474" s="3">
        <v>-90.849299999999999</v>
      </c>
      <c r="K474" t="s">
        <v>5</v>
      </c>
    </row>
    <row r="475" spans="1:11" x14ac:dyDescent="0.3">
      <c r="A475" s="4">
        <v>474</v>
      </c>
      <c r="B475" s="4">
        <v>108</v>
      </c>
      <c r="C475" s="4">
        <v>90</v>
      </c>
      <c r="D475" s="1" t="s">
        <v>60</v>
      </c>
      <c r="E475" s="1" t="s">
        <v>41</v>
      </c>
      <c r="F475" s="1" t="s">
        <v>116</v>
      </c>
      <c r="G475" s="2" t="s">
        <v>231</v>
      </c>
      <c r="H475" t="str">
        <f>_xlfn.XLOOKUP(Vet_Visits[[#This Row],[Charge_Code]],Charge_Reference!A:A,Charge_Reference!B:B)</f>
        <v>Vaccination</v>
      </c>
      <c r="I475" t="s">
        <v>55</v>
      </c>
      <c r="J475" s="3">
        <v>739.26850000000002</v>
      </c>
      <c r="K475" t="s">
        <v>3</v>
      </c>
    </row>
    <row r="476" spans="1:11" x14ac:dyDescent="0.3">
      <c r="A476" s="4">
        <v>475</v>
      </c>
      <c r="B476" s="4">
        <v>36</v>
      </c>
      <c r="C476" s="4">
        <v>5</v>
      </c>
      <c r="D476" s="1" t="s">
        <v>185</v>
      </c>
      <c r="E476" s="1" t="s">
        <v>41</v>
      </c>
      <c r="F476" s="1" t="s">
        <v>160</v>
      </c>
      <c r="G476" s="2" t="s">
        <v>240</v>
      </c>
      <c r="H476" t="str">
        <f>_xlfn.XLOOKUP(Vet_Visits[[#This Row],[Charge_Code]],Charge_Reference!A:A,Charge_Reference!B:B)</f>
        <v>Annual Bloodwork</v>
      </c>
      <c r="I476" t="s">
        <v>40</v>
      </c>
      <c r="J476" s="3">
        <v>932.18939999999998</v>
      </c>
      <c r="K476" t="s">
        <v>3</v>
      </c>
    </row>
    <row r="477" spans="1:11" x14ac:dyDescent="0.3">
      <c r="A477" s="4">
        <v>476</v>
      </c>
      <c r="B477" s="4">
        <v>104</v>
      </c>
      <c r="C477" s="4">
        <v>32</v>
      </c>
      <c r="D477" s="1" t="s">
        <v>211</v>
      </c>
      <c r="E477" s="1" t="s">
        <v>29</v>
      </c>
      <c r="F477" s="1" t="s">
        <v>61</v>
      </c>
      <c r="G477" s="2" t="s">
        <v>383</v>
      </c>
      <c r="H477" t="str">
        <f>_xlfn.XLOOKUP(Vet_Visits[[#This Row],[Charge_Code]],Charge_Reference!A:A,Charge_Reference!B:B)</f>
        <v>Annual Bloodwork</v>
      </c>
      <c r="I477" t="s">
        <v>40</v>
      </c>
      <c r="J477" s="3">
        <v>-197.6069</v>
      </c>
      <c r="K477" t="s">
        <v>5</v>
      </c>
    </row>
    <row r="478" spans="1:11" x14ac:dyDescent="0.3">
      <c r="A478" s="4">
        <v>477</v>
      </c>
      <c r="B478" s="4">
        <v>165</v>
      </c>
      <c r="C478" s="4">
        <v>35</v>
      </c>
      <c r="D478" s="1" t="s">
        <v>96</v>
      </c>
      <c r="E478" s="1" t="s">
        <v>29</v>
      </c>
      <c r="F478" s="1" t="s">
        <v>85</v>
      </c>
      <c r="G478" s="2" t="s">
        <v>384</v>
      </c>
      <c r="H478" t="str">
        <f>_xlfn.XLOOKUP(Vet_Visits[[#This Row],[Charge_Code]],Charge_Reference!A:A,Charge_Reference!B:B)</f>
        <v>Radiographs</v>
      </c>
      <c r="I478" t="s">
        <v>51</v>
      </c>
      <c r="J478" s="3">
        <v>867.15509999999995</v>
      </c>
      <c r="K478" t="s">
        <v>5</v>
      </c>
    </row>
    <row r="479" spans="1:11" x14ac:dyDescent="0.3">
      <c r="A479" s="4">
        <v>478</v>
      </c>
      <c r="B479" s="4">
        <v>143</v>
      </c>
      <c r="C479" s="4">
        <v>102</v>
      </c>
      <c r="D479" s="1" t="s">
        <v>149</v>
      </c>
      <c r="E479" s="1" t="s">
        <v>41</v>
      </c>
      <c r="F479" s="1" t="s">
        <v>107</v>
      </c>
      <c r="G479" s="2" t="s">
        <v>385</v>
      </c>
      <c r="H479" t="str">
        <f>_xlfn.XLOOKUP(Vet_Visits[[#This Row],[Charge_Code]],Charge_Reference!A:A,Charge_Reference!B:B)</f>
        <v>Surgery</v>
      </c>
      <c r="I479" t="s">
        <v>32</v>
      </c>
      <c r="J479" s="3">
        <v>413.34269999999998</v>
      </c>
      <c r="K479" t="s">
        <v>5</v>
      </c>
    </row>
    <row r="480" spans="1:11" x14ac:dyDescent="0.3">
      <c r="A480" s="4">
        <v>479</v>
      </c>
      <c r="B480" s="4">
        <v>117</v>
      </c>
      <c r="C480" s="4">
        <v>123</v>
      </c>
      <c r="D480" s="1" t="s">
        <v>91</v>
      </c>
      <c r="E480" s="1" t="s">
        <v>41</v>
      </c>
      <c r="F480" s="1" t="s">
        <v>116</v>
      </c>
      <c r="G480" s="2" t="s">
        <v>386</v>
      </c>
      <c r="H480" t="str">
        <f>_xlfn.XLOOKUP(Vet_Visits[[#This Row],[Charge_Code]],Charge_Reference!A:A,Charge_Reference!B:B)</f>
        <v>Annual Bloodwork</v>
      </c>
      <c r="I480" t="s">
        <v>40</v>
      </c>
      <c r="J480" s="3">
        <v>-64.125900000000001</v>
      </c>
      <c r="K480" t="s">
        <v>3</v>
      </c>
    </row>
    <row r="481" spans="1:11" x14ac:dyDescent="0.3">
      <c r="A481" s="4">
        <v>480</v>
      </c>
      <c r="B481" s="4">
        <v>154</v>
      </c>
      <c r="C481" s="4">
        <v>15</v>
      </c>
      <c r="D481" s="1" t="s">
        <v>93</v>
      </c>
      <c r="E481" s="1" t="s">
        <v>41</v>
      </c>
      <c r="F481" s="1" t="s">
        <v>45</v>
      </c>
      <c r="G481" s="2" t="s">
        <v>279</v>
      </c>
      <c r="H481" t="str">
        <f>_xlfn.XLOOKUP(Vet_Visits[[#This Row],[Charge_Code]],Charge_Reference!A:A,Charge_Reference!B:B)</f>
        <v>Surgery</v>
      </c>
      <c r="I481" t="s">
        <v>32</v>
      </c>
      <c r="J481" s="3">
        <v>637.53819999999996</v>
      </c>
      <c r="K481" t="s">
        <v>7</v>
      </c>
    </row>
    <row r="482" spans="1:11" x14ac:dyDescent="0.3">
      <c r="A482" s="4">
        <v>481</v>
      </c>
      <c r="B482" s="4">
        <v>183</v>
      </c>
      <c r="C482" s="4">
        <v>80</v>
      </c>
      <c r="D482" s="1" t="s">
        <v>109</v>
      </c>
      <c r="E482" s="1" t="s">
        <v>29</v>
      </c>
      <c r="F482" s="1" t="s">
        <v>145</v>
      </c>
      <c r="G482" s="2" t="s">
        <v>267</v>
      </c>
      <c r="H482" t="str">
        <f>_xlfn.XLOOKUP(Vet_Visits[[#This Row],[Charge_Code]],Charge_Reference!A:A,Charge_Reference!B:B)</f>
        <v>Nail Trim</v>
      </c>
      <c r="I482" t="s">
        <v>64</v>
      </c>
      <c r="J482" s="3">
        <v>96.795100000000005</v>
      </c>
      <c r="K482" t="s">
        <v>5</v>
      </c>
    </row>
    <row r="483" spans="1:11" x14ac:dyDescent="0.3">
      <c r="A483" s="4">
        <v>482</v>
      </c>
      <c r="B483" s="4">
        <v>88</v>
      </c>
      <c r="C483" s="4">
        <v>65</v>
      </c>
      <c r="D483" s="1" t="s">
        <v>84</v>
      </c>
      <c r="E483" s="1" t="s">
        <v>29</v>
      </c>
      <c r="F483" s="1" t="s">
        <v>107</v>
      </c>
      <c r="G483" s="2" t="s">
        <v>153</v>
      </c>
      <c r="H483" t="str">
        <f>_xlfn.XLOOKUP(Vet_Visits[[#This Row],[Charge_Code]],Charge_Reference!A:A,Charge_Reference!B:B)</f>
        <v>Vaccination</v>
      </c>
      <c r="I483" t="s">
        <v>55</v>
      </c>
      <c r="J483" s="3">
        <v>809.76949999999999</v>
      </c>
      <c r="K483" t="s">
        <v>3</v>
      </c>
    </row>
    <row r="484" spans="1:11" x14ac:dyDescent="0.3">
      <c r="A484" s="4">
        <v>483</v>
      </c>
      <c r="B484" s="4">
        <v>62</v>
      </c>
      <c r="C484" s="4">
        <v>112</v>
      </c>
      <c r="D484" s="1" t="s">
        <v>179</v>
      </c>
      <c r="E484" s="1" t="s">
        <v>41</v>
      </c>
      <c r="F484" s="1" t="s">
        <v>66</v>
      </c>
      <c r="G484" s="2" t="s">
        <v>219</v>
      </c>
      <c r="H484" t="str">
        <f>_xlfn.XLOOKUP(Vet_Visits[[#This Row],[Charge_Code]],Charge_Reference!A:A,Charge_Reference!B:B)</f>
        <v>Radiographs</v>
      </c>
      <c r="I484" t="s">
        <v>51</v>
      </c>
      <c r="J484" s="3">
        <v>694.23749999999995</v>
      </c>
      <c r="K484" t="s">
        <v>3</v>
      </c>
    </row>
    <row r="485" spans="1:11" x14ac:dyDescent="0.3">
      <c r="A485" s="4">
        <v>484</v>
      </c>
      <c r="B485" s="4">
        <v>190</v>
      </c>
      <c r="C485" s="4">
        <v>75</v>
      </c>
      <c r="D485" s="1" t="s">
        <v>244</v>
      </c>
      <c r="E485" s="1" t="s">
        <v>41</v>
      </c>
      <c r="F485" s="1" t="s">
        <v>131</v>
      </c>
      <c r="G485" s="2" t="s">
        <v>241</v>
      </c>
      <c r="H485" t="str">
        <f>_xlfn.XLOOKUP(Vet_Visits[[#This Row],[Charge_Code]],Charge_Reference!A:A,Charge_Reference!B:B)</f>
        <v>Emergency Visit</v>
      </c>
      <c r="I485" t="s">
        <v>36</v>
      </c>
      <c r="J485" s="3">
        <v>564.91980000000001</v>
      </c>
      <c r="K485" t="s">
        <v>5</v>
      </c>
    </row>
    <row r="486" spans="1:11" x14ac:dyDescent="0.3">
      <c r="A486" s="4">
        <v>485</v>
      </c>
      <c r="B486" s="4">
        <v>63</v>
      </c>
      <c r="C486" s="4">
        <v>11</v>
      </c>
      <c r="D486" s="1" t="s">
        <v>126</v>
      </c>
      <c r="E486" s="1" t="s">
        <v>29</v>
      </c>
      <c r="F486" s="1" t="s">
        <v>151</v>
      </c>
      <c r="G486" s="2" t="s">
        <v>353</v>
      </c>
      <c r="H486" t="str">
        <f>_xlfn.XLOOKUP(Vet_Visits[[#This Row],[Charge_Code]],Charge_Reference!A:A,Charge_Reference!B:B)</f>
        <v>Vaccination</v>
      </c>
      <c r="I486" t="s">
        <v>55</v>
      </c>
      <c r="J486" s="3">
        <v>-47.7149</v>
      </c>
      <c r="K486" t="s">
        <v>5</v>
      </c>
    </row>
    <row r="487" spans="1:11" x14ac:dyDescent="0.3">
      <c r="A487" s="4">
        <v>486</v>
      </c>
      <c r="B487" s="4">
        <v>119</v>
      </c>
      <c r="C487" s="4">
        <v>106</v>
      </c>
      <c r="D487" s="1" t="s">
        <v>191</v>
      </c>
      <c r="E487" s="1" t="s">
        <v>41</v>
      </c>
      <c r="F487" s="1" t="s">
        <v>151</v>
      </c>
      <c r="G487" s="2" t="s">
        <v>387</v>
      </c>
      <c r="H487" t="str">
        <f>_xlfn.XLOOKUP(Vet_Visits[[#This Row],[Charge_Code]],Charge_Reference!A:A,Charge_Reference!B:B)</f>
        <v>Radiographs</v>
      </c>
      <c r="I487" t="s">
        <v>51</v>
      </c>
      <c r="J487" s="3">
        <v>33.0214</v>
      </c>
      <c r="K487" t="s">
        <v>3</v>
      </c>
    </row>
    <row r="488" spans="1:11" x14ac:dyDescent="0.3">
      <c r="A488" s="4">
        <v>487</v>
      </c>
      <c r="B488" s="4">
        <v>191</v>
      </c>
      <c r="C488" s="4">
        <v>73</v>
      </c>
      <c r="D488" s="1" t="s">
        <v>149</v>
      </c>
      <c r="E488" s="1" t="s">
        <v>29</v>
      </c>
      <c r="F488" s="1" t="s">
        <v>111</v>
      </c>
      <c r="G488" s="2" t="s">
        <v>388</v>
      </c>
      <c r="H488" t="str">
        <f>_xlfn.XLOOKUP(Vet_Visits[[#This Row],[Charge_Code]],Charge_Reference!A:A,Charge_Reference!B:B)</f>
        <v>Annual Bloodwork</v>
      </c>
      <c r="I488" t="s">
        <v>40</v>
      </c>
      <c r="J488" s="3">
        <v>128.6146</v>
      </c>
      <c r="K488" t="s">
        <v>5</v>
      </c>
    </row>
    <row r="489" spans="1:11" x14ac:dyDescent="0.3">
      <c r="A489" s="4">
        <v>488</v>
      </c>
      <c r="B489" s="4">
        <v>11</v>
      </c>
      <c r="C489" s="4">
        <v>133</v>
      </c>
      <c r="D489" s="1" t="s">
        <v>70</v>
      </c>
      <c r="E489" s="1" t="s">
        <v>29</v>
      </c>
      <c r="F489" s="1" t="s">
        <v>160</v>
      </c>
      <c r="G489" s="2" t="s">
        <v>357</v>
      </c>
      <c r="H489" t="str">
        <f>_xlfn.XLOOKUP(Vet_Visits[[#This Row],[Charge_Code]],Charge_Reference!A:A,Charge_Reference!B:B)</f>
        <v>Radiographs</v>
      </c>
      <c r="I489" t="s">
        <v>51</v>
      </c>
      <c r="J489" s="3">
        <v>700.40809999999999</v>
      </c>
      <c r="K489" t="s">
        <v>7</v>
      </c>
    </row>
    <row r="490" spans="1:11" x14ac:dyDescent="0.3">
      <c r="A490" s="4">
        <v>489</v>
      </c>
      <c r="B490" s="4">
        <v>25</v>
      </c>
      <c r="C490" s="4">
        <v>80</v>
      </c>
      <c r="D490" s="1" t="s">
        <v>81</v>
      </c>
      <c r="E490" s="1" t="s">
        <v>29</v>
      </c>
      <c r="F490" s="1" t="s">
        <v>38</v>
      </c>
      <c r="G490" s="2" t="s">
        <v>367</v>
      </c>
      <c r="H490" t="str">
        <f>_xlfn.XLOOKUP(Vet_Visits[[#This Row],[Charge_Code]],Charge_Reference!A:A,Charge_Reference!B:B)</f>
        <v>Radiographs</v>
      </c>
      <c r="I490" t="s">
        <v>51</v>
      </c>
      <c r="J490" s="3">
        <v>19.865100000000002</v>
      </c>
      <c r="K490" t="s">
        <v>3</v>
      </c>
    </row>
    <row r="491" spans="1:11" x14ac:dyDescent="0.3">
      <c r="A491" s="4">
        <v>490</v>
      </c>
      <c r="B491" s="4">
        <v>198</v>
      </c>
      <c r="C491" s="4">
        <v>122</v>
      </c>
      <c r="D491" s="1" t="s">
        <v>139</v>
      </c>
      <c r="E491" s="1" t="s">
        <v>29</v>
      </c>
      <c r="F491" s="1" t="s">
        <v>151</v>
      </c>
      <c r="G491" s="2" t="s">
        <v>221</v>
      </c>
      <c r="H491" t="str">
        <f>_xlfn.XLOOKUP(Vet_Visits[[#This Row],[Charge_Code]],Charge_Reference!A:A,Charge_Reference!B:B)</f>
        <v>Vaccination</v>
      </c>
      <c r="I491" t="s">
        <v>55</v>
      </c>
      <c r="J491" s="3">
        <v>566.40629999999999</v>
      </c>
      <c r="K491" t="s">
        <v>5</v>
      </c>
    </row>
    <row r="492" spans="1:11" x14ac:dyDescent="0.3">
      <c r="A492" s="4">
        <v>491</v>
      </c>
      <c r="B492" s="4">
        <v>61</v>
      </c>
      <c r="C492" s="4">
        <v>13</v>
      </c>
      <c r="D492" s="1" t="s">
        <v>115</v>
      </c>
      <c r="E492" s="1" t="s">
        <v>41</v>
      </c>
      <c r="F492" s="1" t="s">
        <v>135</v>
      </c>
      <c r="G492" s="2" t="s">
        <v>382</v>
      </c>
      <c r="H492" t="str">
        <f>_xlfn.XLOOKUP(Vet_Visits[[#This Row],[Charge_Code]],Charge_Reference!A:A,Charge_Reference!B:B)</f>
        <v>Vaccination</v>
      </c>
      <c r="I492" t="s">
        <v>55</v>
      </c>
      <c r="J492" s="3">
        <v>431.697</v>
      </c>
      <c r="K492" t="s">
        <v>5</v>
      </c>
    </row>
    <row r="493" spans="1:11" x14ac:dyDescent="0.3">
      <c r="A493" s="4">
        <v>492</v>
      </c>
      <c r="B493" s="4">
        <v>151</v>
      </c>
      <c r="C493" s="4">
        <v>148</v>
      </c>
      <c r="D493" s="1" t="s">
        <v>312</v>
      </c>
      <c r="E493" s="1" t="s">
        <v>41</v>
      </c>
      <c r="F493" s="1" t="s">
        <v>135</v>
      </c>
      <c r="G493" s="2" t="s">
        <v>43</v>
      </c>
      <c r="H493" t="str">
        <f>_xlfn.XLOOKUP(Vet_Visits[[#This Row],[Charge_Code]],Charge_Reference!A:A,Charge_Reference!B:B)</f>
        <v>Surgery</v>
      </c>
      <c r="I493" t="s">
        <v>32</v>
      </c>
      <c r="J493" s="3">
        <v>7.1289999999999996</v>
      </c>
      <c r="K493" t="s">
        <v>7</v>
      </c>
    </row>
    <row r="494" spans="1:11" x14ac:dyDescent="0.3">
      <c r="A494" s="4">
        <v>493</v>
      </c>
      <c r="B494" s="4">
        <v>118</v>
      </c>
      <c r="C494" s="4">
        <v>98</v>
      </c>
      <c r="D494" s="1" t="s">
        <v>191</v>
      </c>
      <c r="E494" s="1" t="s">
        <v>41</v>
      </c>
      <c r="F494" s="1" t="s">
        <v>34</v>
      </c>
      <c r="G494" s="2" t="s">
        <v>156</v>
      </c>
      <c r="H494" t="str">
        <f>_xlfn.XLOOKUP(Vet_Visits[[#This Row],[Charge_Code]],Charge_Reference!A:A,Charge_Reference!B:B)</f>
        <v>Surgery</v>
      </c>
      <c r="I494" t="s">
        <v>32</v>
      </c>
      <c r="J494" s="3">
        <v>330.77780000000001</v>
      </c>
      <c r="K494" t="s">
        <v>5</v>
      </c>
    </row>
    <row r="495" spans="1:11" x14ac:dyDescent="0.3">
      <c r="A495" s="4">
        <v>494</v>
      </c>
      <c r="B495" s="4">
        <v>170</v>
      </c>
      <c r="C495" s="4">
        <v>56</v>
      </c>
      <c r="D495" s="1" t="s">
        <v>56</v>
      </c>
      <c r="E495" s="1" t="s">
        <v>41</v>
      </c>
      <c r="F495" s="1" t="s">
        <v>73</v>
      </c>
      <c r="G495" s="2" t="s">
        <v>345</v>
      </c>
      <c r="H495" t="str">
        <f>_xlfn.XLOOKUP(Vet_Visits[[#This Row],[Charge_Code]],Charge_Reference!A:A,Charge_Reference!B:B)</f>
        <v>Nail Trim</v>
      </c>
      <c r="I495" t="s">
        <v>64</v>
      </c>
      <c r="J495" s="3">
        <v>144.93549999999999</v>
      </c>
      <c r="K495" t="s">
        <v>3</v>
      </c>
    </row>
    <row r="496" spans="1:11" x14ac:dyDescent="0.3">
      <c r="A496" s="4">
        <v>495</v>
      </c>
      <c r="B496" s="4">
        <v>96</v>
      </c>
      <c r="C496" s="4">
        <v>56</v>
      </c>
      <c r="D496" s="1" t="s">
        <v>101</v>
      </c>
      <c r="E496" s="1" t="s">
        <v>41</v>
      </c>
      <c r="F496" s="1" t="s">
        <v>94</v>
      </c>
      <c r="G496" s="2" t="s">
        <v>77</v>
      </c>
      <c r="H496" t="str">
        <f>_xlfn.XLOOKUP(Vet_Visits[[#This Row],[Charge_Code]],Charge_Reference!A:A,Charge_Reference!B:B)</f>
        <v>Annual Bloodwork</v>
      </c>
      <c r="I496" t="s">
        <v>40</v>
      </c>
      <c r="J496" s="3">
        <v>117.8871</v>
      </c>
      <c r="K496" t="s">
        <v>3</v>
      </c>
    </row>
    <row r="497" spans="1:11" x14ac:dyDescent="0.3">
      <c r="A497" s="4">
        <v>496</v>
      </c>
      <c r="B497" s="4">
        <v>26</v>
      </c>
      <c r="C497" s="4">
        <v>124</v>
      </c>
      <c r="D497" s="1" t="s">
        <v>52</v>
      </c>
      <c r="E497" s="1" t="s">
        <v>41</v>
      </c>
      <c r="F497" s="1" t="s">
        <v>160</v>
      </c>
      <c r="G497" s="2" t="s">
        <v>358</v>
      </c>
      <c r="H497" t="str">
        <f>_xlfn.XLOOKUP(Vet_Visits[[#This Row],[Charge_Code]],Charge_Reference!A:A,Charge_Reference!B:B)</f>
        <v>Surgery</v>
      </c>
      <c r="I497" t="s">
        <v>32</v>
      </c>
      <c r="J497" s="3">
        <v>109.3057</v>
      </c>
      <c r="K497" t="s">
        <v>5</v>
      </c>
    </row>
    <row r="498" spans="1:11" x14ac:dyDescent="0.3">
      <c r="A498" s="4">
        <v>497</v>
      </c>
      <c r="B498" s="4">
        <v>185</v>
      </c>
      <c r="C498" s="4">
        <v>78</v>
      </c>
      <c r="D498" s="1" t="s">
        <v>28</v>
      </c>
      <c r="E498" s="1" t="s">
        <v>41</v>
      </c>
      <c r="F498" s="1" t="s">
        <v>116</v>
      </c>
      <c r="G498" s="2" t="s">
        <v>277</v>
      </c>
      <c r="H498" t="str">
        <f>_xlfn.XLOOKUP(Vet_Visits[[#This Row],[Charge_Code]],Charge_Reference!A:A,Charge_Reference!B:B)</f>
        <v>Surgery</v>
      </c>
      <c r="I498" t="s">
        <v>32</v>
      </c>
      <c r="J498" s="3">
        <v>890.50909999999999</v>
      </c>
      <c r="K498" t="s">
        <v>5</v>
      </c>
    </row>
    <row r="499" spans="1:11" x14ac:dyDescent="0.3">
      <c r="A499" s="4">
        <v>498</v>
      </c>
      <c r="B499" s="4">
        <v>134</v>
      </c>
      <c r="C499" s="4">
        <v>142</v>
      </c>
      <c r="D499" s="1" t="s">
        <v>75</v>
      </c>
      <c r="E499" s="1" t="s">
        <v>29</v>
      </c>
      <c r="F499" s="1" t="s">
        <v>104</v>
      </c>
      <c r="G499" s="2" t="s">
        <v>325</v>
      </c>
      <c r="H499" t="str">
        <f>_xlfn.XLOOKUP(Vet_Visits[[#This Row],[Charge_Code]],Charge_Reference!A:A,Charge_Reference!B:B)</f>
        <v>Dental Cleaning</v>
      </c>
      <c r="I499" t="s">
        <v>47</v>
      </c>
      <c r="J499" s="3">
        <v>-40.945700000000002</v>
      </c>
      <c r="K499" t="s">
        <v>5</v>
      </c>
    </row>
    <row r="500" spans="1:11" x14ac:dyDescent="0.3">
      <c r="A500" s="4">
        <v>499</v>
      </c>
      <c r="B500" s="4">
        <v>145</v>
      </c>
      <c r="C500" s="4">
        <v>91</v>
      </c>
      <c r="D500" s="1" t="s">
        <v>84</v>
      </c>
      <c r="E500" s="1" t="s">
        <v>29</v>
      </c>
      <c r="F500" s="1" t="s">
        <v>160</v>
      </c>
      <c r="G500" s="2" t="s">
        <v>324</v>
      </c>
      <c r="H500" t="str">
        <f>_xlfn.XLOOKUP(Vet_Visits[[#This Row],[Charge_Code]],Charge_Reference!A:A,Charge_Reference!B:B)</f>
        <v>Radiographs</v>
      </c>
      <c r="I500" t="s">
        <v>51</v>
      </c>
      <c r="J500" s="3">
        <v>504.67149999999998</v>
      </c>
      <c r="K500" t="s">
        <v>3</v>
      </c>
    </row>
    <row r="501" spans="1:11" x14ac:dyDescent="0.3">
      <c r="A501" s="4">
        <v>500</v>
      </c>
      <c r="B501" s="4">
        <v>168</v>
      </c>
      <c r="C501" s="4">
        <v>72</v>
      </c>
      <c r="D501" s="1" t="s">
        <v>70</v>
      </c>
      <c r="E501" s="1" t="s">
        <v>41</v>
      </c>
      <c r="F501" s="1" t="s">
        <v>45</v>
      </c>
      <c r="G501" s="2" t="s">
        <v>362</v>
      </c>
      <c r="H501" t="str">
        <f>_xlfn.XLOOKUP(Vet_Visits[[#This Row],[Charge_Code]],Charge_Reference!A:A,Charge_Reference!B:B)</f>
        <v>Nail Trim</v>
      </c>
      <c r="I501" t="s">
        <v>64</v>
      </c>
      <c r="J501" s="3">
        <v>513.72630000000004</v>
      </c>
      <c r="K501" t="s">
        <v>5</v>
      </c>
    </row>
  </sheetData>
  <conditionalFormatting sqref="A1:A1048576">
    <cfRule type="duplicateValues" dxfId="2" priority="2"/>
  </conditionalFormatting>
  <conditionalFormatting sqref="A2">
    <cfRule type="duplicateValues" dxfId="1" priority="3"/>
  </conditionalFormatting>
  <conditionalFormatting sqref="J1:J1048576">
    <cfRule type="cellIs" dxfId="0" priority="1" operator="lessThan">
      <formula>0</formula>
    </cfRule>
  </conditionalFormatting>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Must be predetermined treatment" xr:uid="{61B6A12D-94B4-42FD-AB65-FCDDFC0FABFF}">
          <x14:formula1>
            <xm:f>Charge_Reference!$B$2:$B$9</xm:f>
          </x14:formula1>
          <xm:sqref>H2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B8FE-F4C4-42E2-93E9-CDB71C61E128}">
  <dimension ref="A1:B6"/>
  <sheetViews>
    <sheetView workbookViewId="0">
      <selection activeCell="D8" sqref="D7:D8"/>
    </sheetView>
  </sheetViews>
  <sheetFormatPr defaultRowHeight="14.4" x14ac:dyDescent="0.3"/>
  <cols>
    <col min="1" max="1" width="12.5546875" bestFit="1" customWidth="1"/>
    <col min="2" max="2" width="21.5546875" bestFit="1" customWidth="1"/>
    <col min="3" max="3" width="14.21875" bestFit="1" customWidth="1"/>
    <col min="4" max="4" width="14.44140625" bestFit="1" customWidth="1"/>
    <col min="5" max="5" width="8.5546875" bestFit="1" customWidth="1"/>
    <col min="6" max="6" width="10" bestFit="1" customWidth="1"/>
    <col min="7" max="7" width="11.44140625" bestFit="1" customWidth="1"/>
    <col min="8" max="8" width="8.5546875" bestFit="1" customWidth="1"/>
    <col min="9" max="9" width="10.88671875" bestFit="1" customWidth="1"/>
    <col min="10" max="10" width="10.77734375" bestFit="1" customWidth="1"/>
  </cols>
  <sheetData>
    <row r="1" spans="1:2" x14ac:dyDescent="0.3">
      <c r="A1" s="5" t="s">
        <v>2</v>
      </c>
      <c r="B1" t="s">
        <v>884</v>
      </c>
    </row>
    <row r="3" spans="1:2" x14ac:dyDescent="0.3">
      <c r="A3" s="5" t="s">
        <v>882</v>
      </c>
      <c r="B3" t="s">
        <v>883</v>
      </c>
    </row>
    <row r="4" spans="1:2" x14ac:dyDescent="0.3">
      <c r="A4" s="6" t="s">
        <v>41</v>
      </c>
      <c r="B4" s="8">
        <v>79279.189500000051</v>
      </c>
    </row>
    <row r="5" spans="1:2" x14ac:dyDescent="0.3">
      <c r="A5" s="6" t="s">
        <v>29</v>
      </c>
      <c r="B5" s="8">
        <v>90379.029100000058</v>
      </c>
    </row>
    <row r="6" spans="1:2" x14ac:dyDescent="0.3">
      <c r="A6" s="6" t="s">
        <v>9</v>
      </c>
      <c r="B6" s="8">
        <v>169658.21860000011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3A412-8F07-4CD9-9390-946353536FF6}">
  <dimension ref="A1:T501"/>
  <sheetViews>
    <sheetView tabSelected="1" workbookViewId="0">
      <selection activeCell="G2" sqref="G2"/>
    </sheetView>
  </sheetViews>
  <sheetFormatPr defaultRowHeight="14.4" x14ac:dyDescent="0.3"/>
  <cols>
    <col min="1" max="1" width="9.21875" customWidth="1"/>
    <col min="2" max="2" width="8.44140625" customWidth="1"/>
    <col min="3" max="3" width="11.21875" customWidth="1"/>
    <col min="4" max="4" width="11.6640625" customWidth="1"/>
    <col min="5" max="5" width="9.109375" customWidth="1"/>
    <col min="6" max="6" width="17.33203125" bestFit="1" customWidth="1"/>
    <col min="7" max="7" width="11.33203125" customWidth="1"/>
    <col min="8" max="8" width="14.109375" customWidth="1"/>
    <col min="9" max="9" width="16" bestFit="1" customWidth="1"/>
    <col min="10" max="10" width="16.6640625" customWidth="1"/>
    <col min="11" max="11" width="15.5546875" customWidth="1"/>
    <col min="12" max="12" width="20.109375" bestFit="1" customWidth="1"/>
    <col min="19" max="19" width="16.5546875" customWidth="1"/>
    <col min="20" max="20" width="15.6640625" bestFit="1" customWidth="1"/>
  </cols>
  <sheetData>
    <row r="1" spans="1:20" x14ac:dyDescent="0.3">
      <c r="A1" s="9" t="s">
        <v>18</v>
      </c>
      <c r="B1" s="9" t="s">
        <v>19</v>
      </c>
      <c r="C1" s="9" t="s">
        <v>20</v>
      </c>
      <c r="D1" s="9" t="s">
        <v>21</v>
      </c>
      <c r="E1" s="9" t="s">
        <v>22</v>
      </c>
      <c r="F1" s="9" t="s">
        <v>23</v>
      </c>
      <c r="G1" s="9" t="s">
        <v>24</v>
      </c>
      <c r="H1" s="9" t="s">
        <v>25</v>
      </c>
      <c r="I1" s="9" t="s">
        <v>2</v>
      </c>
      <c r="J1" s="9" t="s">
        <v>26</v>
      </c>
      <c r="K1" s="9" t="s">
        <v>27</v>
      </c>
      <c r="L1" s="9" t="s">
        <v>867</v>
      </c>
    </row>
    <row r="2" spans="1:20" ht="15" thickBot="1" x14ac:dyDescent="0.35">
      <c r="A2">
        <v>1</v>
      </c>
      <c r="B2">
        <v>47</v>
      </c>
      <c r="C2">
        <v>116</v>
      </c>
      <c r="D2" t="s">
        <v>28</v>
      </c>
      <c r="E2" t="s">
        <v>29</v>
      </c>
      <c r="F2" t="s">
        <v>30</v>
      </c>
      <c r="G2" t="s">
        <v>31</v>
      </c>
      <c r="H2" t="s">
        <v>32</v>
      </c>
      <c r="I2" t="str">
        <f>_xlfn.XLOOKUP(H2,Charge_Reference!A:A,Charge_Reference!B:B)</f>
        <v>Surgery</v>
      </c>
      <c r="J2" s="8">
        <v>939.00519999999995</v>
      </c>
      <c r="K2" t="s">
        <v>7</v>
      </c>
      <c r="L2" t="str">
        <f>IF(I2 = "Surgery", "Needs TGH instructions", "No instructions needed")</f>
        <v>Needs TGH instructions</v>
      </c>
    </row>
    <row r="3" spans="1:20" x14ac:dyDescent="0.3">
      <c r="A3">
        <v>2</v>
      </c>
      <c r="B3">
        <v>25</v>
      </c>
      <c r="C3">
        <v>37</v>
      </c>
      <c r="D3" t="s">
        <v>33</v>
      </c>
      <c r="E3" t="s">
        <v>29</v>
      </c>
      <c r="F3" t="s">
        <v>34</v>
      </c>
      <c r="G3" t="s">
        <v>35</v>
      </c>
      <c r="H3" t="s">
        <v>36</v>
      </c>
      <c r="I3" t="str">
        <f>_xlfn.XLOOKUP(H3,Charge_Reference!A:A,Charge_Reference!B:B)</f>
        <v>Emergency Visit</v>
      </c>
      <c r="J3" s="8">
        <v>725.98050000000001</v>
      </c>
      <c r="K3" t="s">
        <v>7</v>
      </c>
      <c r="L3" t="str">
        <f t="shared" ref="L3:L66" si="0">IF(I3 = "Surgery", "Needs TGH instructions", "No instructions needed")</f>
        <v>No instructions needed</v>
      </c>
      <c r="S3" s="11" t="s">
        <v>868</v>
      </c>
      <c r="T3" s="11"/>
    </row>
    <row r="4" spans="1:20" x14ac:dyDescent="0.3">
      <c r="A4">
        <v>3</v>
      </c>
      <c r="B4">
        <v>22</v>
      </c>
      <c r="C4">
        <v>35</v>
      </c>
      <c r="D4" t="s">
        <v>37</v>
      </c>
      <c r="E4" t="s">
        <v>29</v>
      </c>
      <c r="F4" t="s">
        <v>38</v>
      </c>
      <c r="G4" t="s">
        <v>39</v>
      </c>
      <c r="H4" t="s">
        <v>40</v>
      </c>
      <c r="I4" t="str">
        <f>_xlfn.XLOOKUP(H4,Charge_Reference!A:A,Charge_Reference!B:B)</f>
        <v>Annual Bloodwork</v>
      </c>
      <c r="J4" s="8">
        <v>349.35950000000003</v>
      </c>
      <c r="K4" t="s">
        <v>5</v>
      </c>
      <c r="L4" t="str">
        <f t="shared" si="0"/>
        <v>No instructions needed</v>
      </c>
    </row>
    <row r="5" spans="1:20" x14ac:dyDescent="0.3">
      <c r="A5">
        <v>4</v>
      </c>
      <c r="B5">
        <v>63</v>
      </c>
      <c r="C5">
        <v>66</v>
      </c>
      <c r="D5" t="s">
        <v>33</v>
      </c>
      <c r="E5" t="s">
        <v>41</v>
      </c>
      <c r="F5" t="s">
        <v>42</v>
      </c>
      <c r="G5" t="s">
        <v>43</v>
      </c>
      <c r="H5" t="s">
        <v>36</v>
      </c>
      <c r="I5" t="str">
        <f>_xlfn.XLOOKUP(H5,Charge_Reference!A:A,Charge_Reference!B:B)</f>
        <v>Emergency Visit</v>
      </c>
      <c r="J5" s="8">
        <v>78.241799999999998</v>
      </c>
      <c r="K5" t="s">
        <v>5</v>
      </c>
      <c r="L5" t="str">
        <f t="shared" si="0"/>
        <v>No instructions needed</v>
      </c>
      <c r="S5" t="s">
        <v>869</v>
      </c>
      <c r="T5" s="8">
        <v>339.31643719999971</v>
      </c>
    </row>
    <row r="6" spans="1:20" x14ac:dyDescent="0.3">
      <c r="A6">
        <v>5</v>
      </c>
      <c r="B6">
        <v>18</v>
      </c>
      <c r="C6">
        <v>101</v>
      </c>
      <c r="D6" t="s">
        <v>44</v>
      </c>
      <c r="E6" t="s">
        <v>29</v>
      </c>
      <c r="F6" t="s">
        <v>45</v>
      </c>
      <c r="G6" t="s">
        <v>46</v>
      </c>
      <c r="H6" t="s">
        <v>47</v>
      </c>
      <c r="I6" t="str">
        <f>_xlfn.XLOOKUP(H6,Charge_Reference!A:A,Charge_Reference!B:B)</f>
        <v>Dental Cleaning</v>
      </c>
      <c r="J6" s="8">
        <v>480.2783</v>
      </c>
      <c r="K6" t="s">
        <v>5</v>
      </c>
      <c r="L6" t="str">
        <f t="shared" si="0"/>
        <v>No instructions needed</v>
      </c>
      <c r="S6" t="s">
        <v>870</v>
      </c>
      <c r="T6" s="8">
        <v>16.899492345707177</v>
      </c>
    </row>
    <row r="7" spans="1:20" x14ac:dyDescent="0.3">
      <c r="A7">
        <v>6</v>
      </c>
      <c r="B7">
        <v>71</v>
      </c>
      <c r="C7">
        <v>131</v>
      </c>
      <c r="D7" t="s">
        <v>48</v>
      </c>
      <c r="E7" t="s">
        <v>41</v>
      </c>
      <c r="F7" t="s">
        <v>49</v>
      </c>
      <c r="G7" t="s">
        <v>50</v>
      </c>
      <c r="H7" t="s">
        <v>51</v>
      </c>
      <c r="I7" t="str">
        <f>_xlfn.XLOOKUP(H7,Charge_Reference!A:A,Charge_Reference!B:B)</f>
        <v>Radiographs</v>
      </c>
      <c r="J7" s="8">
        <v>937.5625</v>
      </c>
      <c r="K7" t="s">
        <v>7</v>
      </c>
      <c r="L7" t="str">
        <f t="shared" si="0"/>
        <v>No instructions needed</v>
      </c>
      <c r="S7" t="s">
        <v>871</v>
      </c>
      <c r="T7" s="8">
        <v>319.58564999999999</v>
      </c>
    </row>
    <row r="8" spans="1:20" x14ac:dyDescent="0.3">
      <c r="A8">
        <v>7</v>
      </c>
      <c r="B8">
        <v>92</v>
      </c>
      <c r="C8">
        <v>75</v>
      </c>
      <c r="D8" t="s">
        <v>52</v>
      </c>
      <c r="E8" t="s">
        <v>29</v>
      </c>
      <c r="F8" t="s">
        <v>53</v>
      </c>
      <c r="G8" t="s">
        <v>54</v>
      </c>
      <c r="H8" t="s">
        <v>55</v>
      </c>
      <c r="I8" t="str">
        <f>_xlfn.XLOOKUP(H8,Charge_Reference!A:A,Charge_Reference!B:B)</f>
        <v>Vaccination</v>
      </c>
      <c r="J8" s="8">
        <v>650.0059</v>
      </c>
      <c r="K8" t="s">
        <v>5</v>
      </c>
      <c r="L8" t="str">
        <f t="shared" si="0"/>
        <v>No instructions needed</v>
      </c>
      <c r="S8" t="s">
        <v>872</v>
      </c>
      <c r="T8" s="8" t="e">
        <v>#N/A</v>
      </c>
    </row>
    <row r="9" spans="1:20" x14ac:dyDescent="0.3">
      <c r="A9">
        <v>8</v>
      </c>
      <c r="B9">
        <v>12</v>
      </c>
      <c r="C9">
        <v>2</v>
      </c>
      <c r="D9" t="s">
        <v>56</v>
      </c>
      <c r="E9" t="s">
        <v>29</v>
      </c>
      <c r="F9" t="s">
        <v>57</v>
      </c>
      <c r="G9" t="s">
        <v>58</v>
      </c>
      <c r="H9" t="s">
        <v>59</v>
      </c>
      <c r="I9" t="str">
        <f>_xlfn.XLOOKUP(H9,Charge_Reference!A:A,Charge_Reference!B:B)</f>
        <v>Office Visit</v>
      </c>
      <c r="J9" s="8">
        <v>-244.71960000000001</v>
      </c>
      <c r="K9" t="s">
        <v>5</v>
      </c>
      <c r="L9" t="str">
        <f t="shared" si="0"/>
        <v>No instructions needed</v>
      </c>
      <c r="S9" t="s">
        <v>873</v>
      </c>
      <c r="T9" s="8">
        <v>377.88413670238623</v>
      </c>
    </row>
    <row r="10" spans="1:20" x14ac:dyDescent="0.3">
      <c r="A10">
        <v>9</v>
      </c>
      <c r="B10">
        <v>192</v>
      </c>
      <c r="C10">
        <v>107</v>
      </c>
      <c r="D10" t="s">
        <v>60</v>
      </c>
      <c r="E10" t="s">
        <v>29</v>
      </c>
      <c r="F10" t="s">
        <v>61</v>
      </c>
      <c r="G10" t="s">
        <v>62</v>
      </c>
      <c r="H10" t="s">
        <v>47</v>
      </c>
      <c r="I10" t="str">
        <f>_xlfn.XLOOKUP(H10,Charge_Reference!A:A,Charge_Reference!B:B)</f>
        <v>Dental Cleaning</v>
      </c>
      <c r="J10" s="8">
        <v>249.92140000000001</v>
      </c>
      <c r="K10" t="s">
        <v>7</v>
      </c>
      <c r="L10" t="str">
        <f t="shared" si="0"/>
        <v>No instructions needed</v>
      </c>
      <c r="S10" t="s">
        <v>874</v>
      </c>
      <c r="T10" s="8">
        <v>142796.42077130772</v>
      </c>
    </row>
    <row r="11" spans="1:20" x14ac:dyDescent="0.3">
      <c r="A11">
        <v>10</v>
      </c>
      <c r="B11">
        <v>92</v>
      </c>
      <c r="C11">
        <v>20</v>
      </c>
      <c r="D11" t="s">
        <v>28</v>
      </c>
      <c r="E11" t="s">
        <v>29</v>
      </c>
      <c r="F11" t="s">
        <v>45</v>
      </c>
      <c r="G11" t="s">
        <v>63</v>
      </c>
      <c r="H11" t="s">
        <v>64</v>
      </c>
      <c r="I11" t="str">
        <f>_xlfn.XLOOKUP(H11,Charge_Reference!A:A,Charge_Reference!B:B)</f>
        <v>Nail Trim</v>
      </c>
      <c r="J11" s="8">
        <v>866.72609999999997</v>
      </c>
      <c r="K11" t="s">
        <v>5</v>
      </c>
      <c r="L11" t="str">
        <f t="shared" si="0"/>
        <v>No instructions needed</v>
      </c>
      <c r="S11" t="s">
        <v>875</v>
      </c>
      <c r="T11" s="8">
        <v>-1.1986134093955931</v>
      </c>
    </row>
    <row r="12" spans="1:20" x14ac:dyDescent="0.3">
      <c r="A12">
        <v>11</v>
      </c>
      <c r="B12">
        <v>124</v>
      </c>
      <c r="C12">
        <v>72</v>
      </c>
      <c r="D12" t="s">
        <v>65</v>
      </c>
      <c r="E12" t="s">
        <v>29</v>
      </c>
      <c r="F12" t="s">
        <v>66</v>
      </c>
      <c r="G12" t="s">
        <v>67</v>
      </c>
      <c r="H12" t="s">
        <v>59</v>
      </c>
      <c r="I12" t="str">
        <f>_xlfn.XLOOKUP(H12,Charge_Reference!A:A,Charge_Reference!B:B)</f>
        <v>Office Visit</v>
      </c>
      <c r="J12" s="8">
        <v>738.04129999999998</v>
      </c>
      <c r="K12" t="s">
        <v>5</v>
      </c>
      <c r="L12" t="str">
        <f t="shared" si="0"/>
        <v>No instructions needed</v>
      </c>
      <c r="S12" t="s">
        <v>876</v>
      </c>
      <c r="T12" s="8">
        <v>8.3768229860127358E-2</v>
      </c>
    </row>
    <row r="13" spans="1:20" x14ac:dyDescent="0.3">
      <c r="A13">
        <v>12</v>
      </c>
      <c r="B13">
        <v>17</v>
      </c>
      <c r="C13">
        <v>117</v>
      </c>
      <c r="D13" t="s">
        <v>68</v>
      </c>
      <c r="E13" t="s">
        <v>29</v>
      </c>
      <c r="F13" t="s">
        <v>30</v>
      </c>
      <c r="G13" t="s">
        <v>69</v>
      </c>
      <c r="H13" t="s">
        <v>59</v>
      </c>
      <c r="I13" t="str">
        <f>_xlfn.XLOOKUP(H13,Charge_Reference!A:A,Charge_Reference!B:B)</f>
        <v>Office Visit</v>
      </c>
      <c r="J13" s="8">
        <v>66.0608</v>
      </c>
      <c r="K13" t="s">
        <v>3</v>
      </c>
      <c r="L13" t="str">
        <f t="shared" si="0"/>
        <v>No instructions needed</v>
      </c>
      <c r="S13" t="s">
        <v>877</v>
      </c>
      <c r="T13" s="8">
        <v>1294.2561000000001</v>
      </c>
    </row>
    <row r="14" spans="1:20" x14ac:dyDescent="0.3">
      <c r="A14">
        <v>13</v>
      </c>
      <c r="B14">
        <v>73</v>
      </c>
      <c r="C14">
        <v>23</v>
      </c>
      <c r="D14" t="s">
        <v>70</v>
      </c>
      <c r="E14" t="s">
        <v>29</v>
      </c>
      <c r="F14" t="s">
        <v>71</v>
      </c>
      <c r="G14" t="s">
        <v>72</v>
      </c>
      <c r="H14" t="s">
        <v>51</v>
      </c>
      <c r="I14" t="str">
        <f>_xlfn.XLOOKUP(H14,Charge_Reference!A:A,Charge_Reference!B:B)</f>
        <v>Radiographs</v>
      </c>
      <c r="J14" s="8">
        <v>228.29949999999999</v>
      </c>
      <c r="K14" t="s">
        <v>3</v>
      </c>
      <c r="L14" t="str">
        <f t="shared" si="0"/>
        <v>No instructions needed</v>
      </c>
      <c r="S14" t="s">
        <v>878</v>
      </c>
      <c r="T14" s="8">
        <v>-294.6327</v>
      </c>
    </row>
    <row r="15" spans="1:20" x14ac:dyDescent="0.3">
      <c r="A15">
        <v>14</v>
      </c>
      <c r="B15">
        <v>14</v>
      </c>
      <c r="C15">
        <v>2</v>
      </c>
      <c r="D15" t="s">
        <v>37</v>
      </c>
      <c r="E15" t="s">
        <v>29</v>
      </c>
      <c r="F15" t="s">
        <v>73</v>
      </c>
      <c r="G15" t="s">
        <v>74</v>
      </c>
      <c r="H15" t="s">
        <v>55</v>
      </c>
      <c r="I15" t="str">
        <f>_xlfn.XLOOKUP(H15,Charge_Reference!A:A,Charge_Reference!B:B)</f>
        <v>Vaccination</v>
      </c>
      <c r="J15" s="8">
        <v>500.18799999999999</v>
      </c>
      <c r="K15" t="s">
        <v>5</v>
      </c>
      <c r="L15" t="str">
        <f t="shared" si="0"/>
        <v>No instructions needed</v>
      </c>
      <c r="S15" t="s">
        <v>879</v>
      </c>
      <c r="T15" s="8">
        <v>999.62339999999995</v>
      </c>
    </row>
    <row r="16" spans="1:20" x14ac:dyDescent="0.3">
      <c r="A16">
        <v>15</v>
      </c>
      <c r="B16">
        <v>171</v>
      </c>
      <c r="C16">
        <v>20</v>
      </c>
      <c r="D16" t="s">
        <v>75</v>
      </c>
      <c r="E16" t="s">
        <v>29</v>
      </c>
      <c r="F16" t="s">
        <v>76</v>
      </c>
      <c r="G16" t="s">
        <v>77</v>
      </c>
      <c r="H16" t="s">
        <v>32</v>
      </c>
      <c r="I16" t="str">
        <f>_xlfn.XLOOKUP(H16,Charge_Reference!A:A,Charge_Reference!B:B)</f>
        <v>Surgery</v>
      </c>
      <c r="J16" s="8">
        <v>-290.9812</v>
      </c>
      <c r="K16" t="s">
        <v>3</v>
      </c>
      <c r="L16" t="str">
        <f t="shared" si="0"/>
        <v>Needs TGH instructions</v>
      </c>
      <c r="S16" t="s">
        <v>880</v>
      </c>
      <c r="T16" s="8">
        <v>169658.21859999985</v>
      </c>
    </row>
    <row r="17" spans="1:20" ht="15" thickBot="1" x14ac:dyDescent="0.35">
      <c r="A17">
        <v>16</v>
      </c>
      <c r="B17">
        <v>59</v>
      </c>
      <c r="C17">
        <v>80</v>
      </c>
      <c r="D17" t="s">
        <v>78</v>
      </c>
      <c r="E17" t="s">
        <v>29</v>
      </c>
      <c r="F17" t="s">
        <v>53</v>
      </c>
      <c r="G17" t="s">
        <v>79</v>
      </c>
      <c r="H17" t="s">
        <v>51</v>
      </c>
      <c r="I17" t="str">
        <f>_xlfn.XLOOKUP(H17,Charge_Reference!A:A,Charge_Reference!B:B)</f>
        <v>Radiographs</v>
      </c>
      <c r="J17" s="8">
        <v>588.9633</v>
      </c>
      <c r="K17" t="s">
        <v>7</v>
      </c>
      <c r="L17" t="str">
        <f t="shared" si="0"/>
        <v>No instructions needed</v>
      </c>
      <c r="S17" s="10" t="s">
        <v>881</v>
      </c>
      <c r="T17" s="12">
        <v>500</v>
      </c>
    </row>
    <row r="18" spans="1:20" x14ac:dyDescent="0.3">
      <c r="A18">
        <v>17</v>
      </c>
      <c r="B18">
        <v>181</v>
      </c>
      <c r="C18">
        <v>139</v>
      </c>
      <c r="D18" t="s">
        <v>65</v>
      </c>
      <c r="E18" t="s">
        <v>41</v>
      </c>
      <c r="F18" t="s">
        <v>30</v>
      </c>
      <c r="G18" t="s">
        <v>80</v>
      </c>
      <c r="H18" t="s">
        <v>36</v>
      </c>
      <c r="I18" t="str">
        <f>_xlfn.XLOOKUP(H18,Charge_Reference!A:A,Charge_Reference!B:B)</f>
        <v>Emergency Visit</v>
      </c>
      <c r="J18" s="8">
        <v>364.0403</v>
      </c>
      <c r="K18" t="s">
        <v>5</v>
      </c>
      <c r="L18" t="str">
        <f t="shared" si="0"/>
        <v>No instructions needed</v>
      </c>
    </row>
    <row r="19" spans="1:20" x14ac:dyDescent="0.3">
      <c r="A19">
        <v>18</v>
      </c>
      <c r="B19">
        <v>157</v>
      </c>
      <c r="C19">
        <v>70</v>
      </c>
      <c r="D19" t="s">
        <v>81</v>
      </c>
      <c r="E19" t="s">
        <v>41</v>
      </c>
      <c r="F19" t="s">
        <v>82</v>
      </c>
      <c r="G19" t="s">
        <v>83</v>
      </c>
      <c r="H19" t="s">
        <v>40</v>
      </c>
      <c r="I19" t="str">
        <f>_xlfn.XLOOKUP(H19,Charge_Reference!A:A,Charge_Reference!B:B)</f>
        <v>Annual Bloodwork</v>
      </c>
      <c r="J19" s="8">
        <v>387.50560000000002</v>
      </c>
      <c r="K19" t="s">
        <v>7</v>
      </c>
      <c r="L19" t="str">
        <f t="shared" si="0"/>
        <v>No instructions needed</v>
      </c>
    </row>
    <row r="20" spans="1:20" x14ac:dyDescent="0.3">
      <c r="A20">
        <v>19</v>
      </c>
      <c r="B20">
        <v>8</v>
      </c>
      <c r="C20">
        <v>95</v>
      </c>
      <c r="D20" t="s">
        <v>84</v>
      </c>
      <c r="E20" t="s">
        <v>41</v>
      </c>
      <c r="F20" t="s">
        <v>85</v>
      </c>
      <c r="G20" t="s">
        <v>86</v>
      </c>
      <c r="H20" t="s">
        <v>36</v>
      </c>
      <c r="I20" t="str">
        <f>_xlfn.XLOOKUP(H20,Charge_Reference!A:A,Charge_Reference!B:B)</f>
        <v>Emergency Visit</v>
      </c>
      <c r="J20" s="8">
        <v>879.72659999999996</v>
      </c>
      <c r="K20" t="s">
        <v>5</v>
      </c>
      <c r="L20" t="str">
        <f t="shared" si="0"/>
        <v>No instructions needed</v>
      </c>
    </row>
    <row r="21" spans="1:20" x14ac:dyDescent="0.3">
      <c r="A21">
        <v>20</v>
      </c>
      <c r="B21">
        <v>173</v>
      </c>
      <c r="C21">
        <v>25</v>
      </c>
      <c r="D21" t="s">
        <v>37</v>
      </c>
      <c r="E21" t="s">
        <v>41</v>
      </c>
      <c r="F21" t="s">
        <v>87</v>
      </c>
      <c r="G21" t="s">
        <v>88</v>
      </c>
      <c r="H21" t="s">
        <v>64</v>
      </c>
      <c r="I21" t="str">
        <f>_xlfn.XLOOKUP(H21,Charge_Reference!A:A,Charge_Reference!B:B)</f>
        <v>Nail Trim</v>
      </c>
      <c r="J21" s="8">
        <v>246.51490000000001</v>
      </c>
      <c r="K21" t="s">
        <v>5</v>
      </c>
      <c r="L21" t="str">
        <f t="shared" si="0"/>
        <v>No instructions needed</v>
      </c>
    </row>
    <row r="22" spans="1:20" x14ac:dyDescent="0.3">
      <c r="A22">
        <v>21</v>
      </c>
      <c r="B22">
        <v>200</v>
      </c>
      <c r="C22">
        <v>127</v>
      </c>
      <c r="D22" t="s">
        <v>89</v>
      </c>
      <c r="E22" t="s">
        <v>29</v>
      </c>
      <c r="F22" t="s">
        <v>42</v>
      </c>
      <c r="G22" t="s">
        <v>90</v>
      </c>
      <c r="H22" t="s">
        <v>32</v>
      </c>
      <c r="I22" t="str">
        <f>_xlfn.XLOOKUP(H22,Charge_Reference!A:A,Charge_Reference!B:B)</f>
        <v>Surgery</v>
      </c>
      <c r="J22" s="8">
        <v>999.62339999999995</v>
      </c>
      <c r="K22" t="s">
        <v>3</v>
      </c>
      <c r="L22" t="str">
        <f t="shared" si="0"/>
        <v>Needs TGH instructions</v>
      </c>
    </row>
    <row r="23" spans="1:20" x14ac:dyDescent="0.3">
      <c r="A23">
        <v>22</v>
      </c>
      <c r="B23">
        <v>3</v>
      </c>
      <c r="C23">
        <v>33</v>
      </c>
      <c r="D23" t="s">
        <v>91</v>
      </c>
      <c r="E23" t="s">
        <v>41</v>
      </c>
      <c r="F23" t="s">
        <v>53</v>
      </c>
      <c r="G23" t="s">
        <v>92</v>
      </c>
      <c r="H23" t="s">
        <v>47</v>
      </c>
      <c r="I23" t="str">
        <f>_xlfn.XLOOKUP(H23,Charge_Reference!A:A,Charge_Reference!B:B)</f>
        <v>Dental Cleaning</v>
      </c>
      <c r="J23" s="8">
        <v>-206.3467</v>
      </c>
      <c r="K23" t="s">
        <v>7</v>
      </c>
      <c r="L23" t="str">
        <f t="shared" si="0"/>
        <v>No instructions needed</v>
      </c>
    </row>
    <row r="24" spans="1:20" x14ac:dyDescent="0.3">
      <c r="A24">
        <v>23</v>
      </c>
      <c r="B24">
        <v>59</v>
      </c>
      <c r="C24">
        <v>119</v>
      </c>
      <c r="D24" t="s">
        <v>93</v>
      </c>
      <c r="E24" t="s">
        <v>29</v>
      </c>
      <c r="F24" t="s">
        <v>94</v>
      </c>
      <c r="G24" t="s">
        <v>95</v>
      </c>
      <c r="H24" t="s">
        <v>55</v>
      </c>
      <c r="I24" t="str">
        <f>_xlfn.XLOOKUP(H24,Charge_Reference!A:A,Charge_Reference!B:B)</f>
        <v>Vaccination</v>
      </c>
      <c r="J24" s="8">
        <v>248.83539999999999</v>
      </c>
      <c r="K24" t="s">
        <v>7</v>
      </c>
      <c r="L24" t="str">
        <f t="shared" si="0"/>
        <v>No instructions needed</v>
      </c>
    </row>
    <row r="25" spans="1:20" x14ac:dyDescent="0.3">
      <c r="A25">
        <v>24</v>
      </c>
      <c r="B25">
        <v>92</v>
      </c>
      <c r="C25">
        <v>138</v>
      </c>
      <c r="D25" t="s">
        <v>96</v>
      </c>
      <c r="E25" t="s">
        <v>41</v>
      </c>
      <c r="F25" t="s">
        <v>97</v>
      </c>
      <c r="G25" t="s">
        <v>98</v>
      </c>
      <c r="H25" t="s">
        <v>51</v>
      </c>
      <c r="I25" t="str">
        <f>_xlfn.XLOOKUP(H25,Charge_Reference!A:A,Charge_Reference!B:B)</f>
        <v>Radiographs</v>
      </c>
      <c r="J25" s="8">
        <v>-288.69110000000001</v>
      </c>
      <c r="K25" t="s">
        <v>7</v>
      </c>
      <c r="L25" t="str">
        <f t="shared" si="0"/>
        <v>No instructions needed</v>
      </c>
    </row>
    <row r="26" spans="1:20" x14ac:dyDescent="0.3">
      <c r="A26">
        <v>25</v>
      </c>
      <c r="B26">
        <v>35</v>
      </c>
      <c r="C26">
        <v>114</v>
      </c>
      <c r="D26" t="s">
        <v>99</v>
      </c>
      <c r="E26" t="s">
        <v>41</v>
      </c>
      <c r="F26" t="s">
        <v>97</v>
      </c>
      <c r="G26" t="s">
        <v>100</v>
      </c>
      <c r="H26" t="s">
        <v>32</v>
      </c>
      <c r="I26" t="str">
        <f>_xlfn.XLOOKUP(H26,Charge_Reference!A:A,Charge_Reference!B:B)</f>
        <v>Surgery</v>
      </c>
      <c r="J26" s="8">
        <v>-63.622900000000001</v>
      </c>
      <c r="K26" t="s">
        <v>5</v>
      </c>
      <c r="L26" t="str">
        <f t="shared" si="0"/>
        <v>Needs TGH instructions</v>
      </c>
    </row>
    <row r="27" spans="1:20" x14ac:dyDescent="0.3">
      <c r="A27">
        <v>26</v>
      </c>
      <c r="B27">
        <v>21</v>
      </c>
      <c r="C27">
        <v>122</v>
      </c>
      <c r="D27" t="s">
        <v>101</v>
      </c>
      <c r="E27" t="s">
        <v>41</v>
      </c>
      <c r="F27" t="s">
        <v>102</v>
      </c>
      <c r="G27" t="s">
        <v>103</v>
      </c>
      <c r="H27" t="s">
        <v>36</v>
      </c>
      <c r="I27" t="str">
        <f>_xlfn.XLOOKUP(H27,Charge_Reference!A:A,Charge_Reference!B:B)</f>
        <v>Emergency Visit</v>
      </c>
      <c r="J27" s="8">
        <v>733.42840000000001</v>
      </c>
      <c r="K27" t="s">
        <v>5</v>
      </c>
      <c r="L27" t="str">
        <f t="shared" si="0"/>
        <v>No instructions needed</v>
      </c>
    </row>
    <row r="28" spans="1:20" x14ac:dyDescent="0.3">
      <c r="A28">
        <v>27</v>
      </c>
      <c r="B28">
        <v>84</v>
      </c>
      <c r="C28">
        <v>34</v>
      </c>
      <c r="D28" t="s">
        <v>89</v>
      </c>
      <c r="E28" t="s">
        <v>29</v>
      </c>
      <c r="F28" t="s">
        <v>104</v>
      </c>
      <c r="G28" t="s">
        <v>105</v>
      </c>
      <c r="H28" t="s">
        <v>64</v>
      </c>
      <c r="I28" t="str">
        <f>_xlfn.XLOOKUP(H28,Charge_Reference!A:A,Charge_Reference!B:B)</f>
        <v>Nail Trim</v>
      </c>
      <c r="J28" s="8">
        <v>652.8297</v>
      </c>
      <c r="K28" t="s">
        <v>3</v>
      </c>
      <c r="L28" t="str">
        <f t="shared" si="0"/>
        <v>No instructions needed</v>
      </c>
    </row>
    <row r="29" spans="1:20" x14ac:dyDescent="0.3">
      <c r="A29">
        <v>28</v>
      </c>
      <c r="B29">
        <v>47</v>
      </c>
      <c r="C29">
        <v>57</v>
      </c>
      <c r="D29" t="s">
        <v>70</v>
      </c>
      <c r="E29" t="s">
        <v>29</v>
      </c>
      <c r="F29" t="s">
        <v>45</v>
      </c>
      <c r="G29" t="s">
        <v>106</v>
      </c>
      <c r="H29" t="s">
        <v>40</v>
      </c>
      <c r="I29" t="str">
        <f>_xlfn.XLOOKUP(H29,Charge_Reference!A:A,Charge_Reference!B:B)</f>
        <v>Annual Bloodwork</v>
      </c>
      <c r="J29" s="8">
        <v>514.86339999999996</v>
      </c>
      <c r="K29" t="s">
        <v>7</v>
      </c>
      <c r="L29" t="str">
        <f t="shared" si="0"/>
        <v>No instructions needed</v>
      </c>
    </row>
    <row r="30" spans="1:20" x14ac:dyDescent="0.3">
      <c r="A30">
        <v>29</v>
      </c>
      <c r="B30">
        <v>18</v>
      </c>
      <c r="C30">
        <v>104</v>
      </c>
      <c r="D30" t="s">
        <v>28</v>
      </c>
      <c r="E30" t="s">
        <v>29</v>
      </c>
      <c r="F30" t="s">
        <v>107</v>
      </c>
      <c r="G30" t="s">
        <v>108</v>
      </c>
      <c r="H30" t="s">
        <v>59</v>
      </c>
      <c r="I30" t="str">
        <f>_xlfn.XLOOKUP(H30,Charge_Reference!A:A,Charge_Reference!B:B)</f>
        <v>Office Visit</v>
      </c>
      <c r="J30" s="8">
        <v>6.1393000000000004</v>
      </c>
      <c r="K30" t="s">
        <v>7</v>
      </c>
      <c r="L30" t="str">
        <f t="shared" si="0"/>
        <v>No instructions needed</v>
      </c>
    </row>
    <row r="31" spans="1:20" x14ac:dyDescent="0.3">
      <c r="A31">
        <v>30</v>
      </c>
      <c r="B31">
        <v>54</v>
      </c>
      <c r="C31">
        <v>79</v>
      </c>
      <c r="D31" t="s">
        <v>109</v>
      </c>
      <c r="E31" t="s">
        <v>29</v>
      </c>
      <c r="F31" t="s">
        <v>49</v>
      </c>
      <c r="G31" t="s">
        <v>110</v>
      </c>
      <c r="H31" t="s">
        <v>59</v>
      </c>
      <c r="I31" t="str">
        <f>_xlfn.XLOOKUP(H31,Charge_Reference!A:A,Charge_Reference!B:B)</f>
        <v>Office Visit</v>
      </c>
      <c r="J31" s="8">
        <v>112.3904</v>
      </c>
      <c r="K31" t="s">
        <v>3</v>
      </c>
      <c r="L31" t="str">
        <f t="shared" si="0"/>
        <v>No instructions needed</v>
      </c>
    </row>
    <row r="32" spans="1:20" x14ac:dyDescent="0.3">
      <c r="A32">
        <v>31</v>
      </c>
      <c r="B32">
        <v>46</v>
      </c>
      <c r="C32">
        <v>147</v>
      </c>
      <c r="D32" t="s">
        <v>91</v>
      </c>
      <c r="E32" t="s">
        <v>29</v>
      </c>
      <c r="F32" t="s">
        <v>111</v>
      </c>
      <c r="G32" t="s">
        <v>112</v>
      </c>
      <c r="H32" t="s">
        <v>55</v>
      </c>
      <c r="I32" t="str">
        <f>_xlfn.XLOOKUP(H32,Charge_Reference!A:A,Charge_Reference!B:B)</f>
        <v>Vaccination</v>
      </c>
      <c r="J32" s="8">
        <v>777.28390000000002</v>
      </c>
      <c r="K32" t="s">
        <v>5</v>
      </c>
      <c r="L32" t="str">
        <f t="shared" si="0"/>
        <v>No instructions needed</v>
      </c>
    </row>
    <row r="33" spans="1:12" x14ac:dyDescent="0.3">
      <c r="A33">
        <v>32</v>
      </c>
      <c r="B33">
        <v>137</v>
      </c>
      <c r="C33">
        <v>134</v>
      </c>
      <c r="D33" t="s">
        <v>113</v>
      </c>
      <c r="E33" t="s">
        <v>29</v>
      </c>
      <c r="F33" t="s">
        <v>38</v>
      </c>
      <c r="G33" t="s">
        <v>114</v>
      </c>
      <c r="H33" t="s">
        <v>55</v>
      </c>
      <c r="I33" t="str">
        <f>_xlfn.XLOOKUP(H33,Charge_Reference!A:A,Charge_Reference!B:B)</f>
        <v>Vaccination</v>
      </c>
      <c r="J33" s="8">
        <v>-96.376199999999997</v>
      </c>
      <c r="K33" t="s">
        <v>5</v>
      </c>
      <c r="L33" t="str">
        <f t="shared" si="0"/>
        <v>No instructions needed</v>
      </c>
    </row>
    <row r="34" spans="1:12" x14ac:dyDescent="0.3">
      <c r="A34">
        <v>33</v>
      </c>
      <c r="B34">
        <v>146</v>
      </c>
      <c r="C34">
        <v>18</v>
      </c>
      <c r="D34" t="s">
        <v>115</v>
      </c>
      <c r="E34" t="s">
        <v>29</v>
      </c>
      <c r="F34" t="s">
        <v>116</v>
      </c>
      <c r="G34" t="s">
        <v>117</v>
      </c>
      <c r="H34" t="s">
        <v>36</v>
      </c>
      <c r="I34" t="str">
        <f>_xlfn.XLOOKUP(H34,Charge_Reference!A:A,Charge_Reference!B:B)</f>
        <v>Emergency Visit</v>
      </c>
      <c r="J34" s="8">
        <v>-80.761499999999998</v>
      </c>
      <c r="K34" t="s">
        <v>5</v>
      </c>
      <c r="L34" t="str">
        <f t="shared" si="0"/>
        <v>No instructions needed</v>
      </c>
    </row>
    <row r="35" spans="1:12" x14ac:dyDescent="0.3">
      <c r="A35">
        <v>34</v>
      </c>
      <c r="B35">
        <v>38</v>
      </c>
      <c r="C35">
        <v>115</v>
      </c>
      <c r="D35" t="s">
        <v>65</v>
      </c>
      <c r="E35" t="s">
        <v>29</v>
      </c>
      <c r="F35" t="s">
        <v>118</v>
      </c>
      <c r="G35" t="s">
        <v>119</v>
      </c>
      <c r="H35" t="s">
        <v>36</v>
      </c>
      <c r="I35" t="str">
        <f>_xlfn.XLOOKUP(H35,Charge_Reference!A:A,Charge_Reference!B:B)</f>
        <v>Emergency Visit</v>
      </c>
      <c r="J35" s="8">
        <v>-113.2574</v>
      </c>
      <c r="K35" t="s">
        <v>5</v>
      </c>
      <c r="L35" t="str">
        <f t="shared" si="0"/>
        <v>No instructions needed</v>
      </c>
    </row>
    <row r="36" spans="1:12" x14ac:dyDescent="0.3">
      <c r="A36">
        <v>35</v>
      </c>
      <c r="B36">
        <v>111</v>
      </c>
      <c r="C36">
        <v>119</v>
      </c>
      <c r="D36" t="s">
        <v>120</v>
      </c>
      <c r="E36" t="s">
        <v>41</v>
      </c>
      <c r="F36" t="s">
        <v>76</v>
      </c>
      <c r="G36" t="s">
        <v>121</v>
      </c>
      <c r="H36" t="s">
        <v>32</v>
      </c>
      <c r="I36" t="str">
        <f>_xlfn.XLOOKUP(H36,Charge_Reference!A:A,Charge_Reference!B:B)</f>
        <v>Surgery</v>
      </c>
      <c r="J36" s="8">
        <v>467.91059999999999</v>
      </c>
      <c r="K36" t="s">
        <v>5</v>
      </c>
      <c r="L36" t="str">
        <f t="shared" si="0"/>
        <v>Needs TGH instructions</v>
      </c>
    </row>
    <row r="37" spans="1:12" x14ac:dyDescent="0.3">
      <c r="A37">
        <v>36</v>
      </c>
      <c r="B37">
        <v>173</v>
      </c>
      <c r="C37">
        <v>136</v>
      </c>
      <c r="D37" t="s">
        <v>78</v>
      </c>
      <c r="E37" t="s">
        <v>41</v>
      </c>
      <c r="F37" t="s">
        <v>107</v>
      </c>
      <c r="G37" t="s">
        <v>122</v>
      </c>
      <c r="H37" t="s">
        <v>32</v>
      </c>
      <c r="I37" t="str">
        <f>_xlfn.XLOOKUP(H37,Charge_Reference!A:A,Charge_Reference!B:B)</f>
        <v>Surgery</v>
      </c>
      <c r="J37" s="8">
        <v>351.74669999999998</v>
      </c>
      <c r="K37" t="s">
        <v>7</v>
      </c>
      <c r="L37" t="str">
        <f t="shared" si="0"/>
        <v>Needs TGH instructions</v>
      </c>
    </row>
    <row r="38" spans="1:12" x14ac:dyDescent="0.3">
      <c r="A38">
        <v>37</v>
      </c>
      <c r="B38">
        <v>159</v>
      </c>
      <c r="C38">
        <v>147</v>
      </c>
      <c r="D38" t="s">
        <v>81</v>
      </c>
      <c r="E38" t="s">
        <v>41</v>
      </c>
      <c r="F38" t="s">
        <v>30</v>
      </c>
      <c r="G38" t="s">
        <v>123</v>
      </c>
      <c r="H38" t="s">
        <v>36</v>
      </c>
      <c r="I38" t="str">
        <f>_xlfn.XLOOKUP(H38,Charge_Reference!A:A,Charge_Reference!B:B)</f>
        <v>Emergency Visit</v>
      </c>
      <c r="J38" s="8">
        <v>-250.7664</v>
      </c>
      <c r="K38" t="s">
        <v>5</v>
      </c>
      <c r="L38" t="str">
        <f t="shared" si="0"/>
        <v>No instructions needed</v>
      </c>
    </row>
    <row r="39" spans="1:12" x14ac:dyDescent="0.3">
      <c r="A39">
        <v>38</v>
      </c>
      <c r="B39">
        <v>193</v>
      </c>
      <c r="C39">
        <v>58</v>
      </c>
      <c r="D39" t="s">
        <v>81</v>
      </c>
      <c r="E39" t="s">
        <v>29</v>
      </c>
      <c r="F39" t="s">
        <v>73</v>
      </c>
      <c r="G39" t="s">
        <v>124</v>
      </c>
      <c r="H39" t="s">
        <v>36</v>
      </c>
      <c r="I39" t="str">
        <f>_xlfn.XLOOKUP(H39,Charge_Reference!A:A,Charge_Reference!B:B)</f>
        <v>Emergency Visit</v>
      </c>
      <c r="J39" s="8">
        <v>-29.6434</v>
      </c>
      <c r="K39" t="s">
        <v>3</v>
      </c>
      <c r="L39" t="str">
        <f t="shared" si="0"/>
        <v>No instructions needed</v>
      </c>
    </row>
    <row r="40" spans="1:12" x14ac:dyDescent="0.3">
      <c r="A40">
        <v>39</v>
      </c>
      <c r="B40">
        <v>142</v>
      </c>
      <c r="C40">
        <v>82</v>
      </c>
      <c r="D40" t="s">
        <v>37</v>
      </c>
      <c r="E40" t="s">
        <v>29</v>
      </c>
      <c r="F40" t="s">
        <v>82</v>
      </c>
      <c r="G40" t="s">
        <v>125</v>
      </c>
      <c r="H40" t="s">
        <v>64</v>
      </c>
      <c r="I40" t="str">
        <f>_xlfn.XLOOKUP(H40,Charge_Reference!A:A,Charge_Reference!B:B)</f>
        <v>Nail Trim</v>
      </c>
      <c r="J40" s="8">
        <v>249.845</v>
      </c>
      <c r="K40" t="s">
        <v>7</v>
      </c>
      <c r="L40" t="str">
        <f t="shared" si="0"/>
        <v>No instructions needed</v>
      </c>
    </row>
    <row r="41" spans="1:12" x14ac:dyDescent="0.3">
      <c r="A41">
        <v>40</v>
      </c>
      <c r="B41">
        <v>50</v>
      </c>
      <c r="C41">
        <v>108</v>
      </c>
      <c r="D41" t="s">
        <v>126</v>
      </c>
      <c r="E41" t="s">
        <v>29</v>
      </c>
      <c r="F41" t="s">
        <v>94</v>
      </c>
      <c r="G41" t="s">
        <v>127</v>
      </c>
      <c r="H41" t="s">
        <v>51</v>
      </c>
      <c r="I41" t="str">
        <f>_xlfn.XLOOKUP(H41,Charge_Reference!A:A,Charge_Reference!B:B)</f>
        <v>Radiographs</v>
      </c>
      <c r="J41" s="8">
        <v>923.01400000000001</v>
      </c>
      <c r="K41" t="s">
        <v>5</v>
      </c>
      <c r="L41" t="str">
        <f t="shared" si="0"/>
        <v>No instructions needed</v>
      </c>
    </row>
    <row r="42" spans="1:12" x14ac:dyDescent="0.3">
      <c r="A42">
        <v>41</v>
      </c>
      <c r="B42">
        <v>32</v>
      </c>
      <c r="C42">
        <v>142</v>
      </c>
      <c r="D42" t="s">
        <v>128</v>
      </c>
      <c r="E42" t="s">
        <v>29</v>
      </c>
      <c r="F42" t="s">
        <v>34</v>
      </c>
      <c r="G42" t="s">
        <v>129</v>
      </c>
      <c r="H42" t="s">
        <v>59</v>
      </c>
      <c r="I42" t="str">
        <f>_xlfn.XLOOKUP(H42,Charge_Reference!A:A,Charge_Reference!B:B)</f>
        <v>Office Visit</v>
      </c>
      <c r="J42" s="8">
        <v>453.3372</v>
      </c>
      <c r="K42" t="s">
        <v>3</v>
      </c>
      <c r="L42" t="str">
        <f t="shared" si="0"/>
        <v>No instructions needed</v>
      </c>
    </row>
    <row r="43" spans="1:12" x14ac:dyDescent="0.3">
      <c r="A43">
        <v>42</v>
      </c>
      <c r="B43">
        <v>36</v>
      </c>
      <c r="C43">
        <v>71</v>
      </c>
      <c r="D43" t="s">
        <v>130</v>
      </c>
      <c r="E43" t="s">
        <v>41</v>
      </c>
      <c r="F43" t="s">
        <v>97</v>
      </c>
      <c r="G43" t="s">
        <v>50</v>
      </c>
      <c r="H43" t="s">
        <v>55</v>
      </c>
      <c r="I43" t="str">
        <f>_xlfn.XLOOKUP(H43,Charge_Reference!A:A,Charge_Reference!B:B)</f>
        <v>Vaccination</v>
      </c>
      <c r="J43" s="8">
        <v>338.14049999999997</v>
      </c>
      <c r="K43" t="s">
        <v>7</v>
      </c>
      <c r="L43" t="str">
        <f t="shared" si="0"/>
        <v>No instructions needed</v>
      </c>
    </row>
    <row r="44" spans="1:12" x14ac:dyDescent="0.3">
      <c r="A44">
        <v>43</v>
      </c>
      <c r="B44">
        <v>7</v>
      </c>
      <c r="C44">
        <v>91</v>
      </c>
      <c r="D44" t="s">
        <v>120</v>
      </c>
      <c r="E44" t="s">
        <v>29</v>
      </c>
      <c r="F44" t="s">
        <v>131</v>
      </c>
      <c r="G44" t="s">
        <v>132</v>
      </c>
      <c r="H44" t="s">
        <v>36</v>
      </c>
      <c r="I44" t="str">
        <f>_xlfn.XLOOKUP(H44,Charge_Reference!A:A,Charge_Reference!B:B)</f>
        <v>Emergency Visit</v>
      </c>
      <c r="J44" s="8">
        <v>177.42599999999999</v>
      </c>
      <c r="K44" t="s">
        <v>7</v>
      </c>
      <c r="L44" t="str">
        <f t="shared" si="0"/>
        <v>No instructions needed</v>
      </c>
    </row>
    <row r="45" spans="1:12" x14ac:dyDescent="0.3">
      <c r="A45">
        <v>44</v>
      </c>
      <c r="B45">
        <v>93</v>
      </c>
      <c r="C45">
        <v>21</v>
      </c>
      <c r="D45" t="s">
        <v>78</v>
      </c>
      <c r="E45" t="s">
        <v>41</v>
      </c>
      <c r="F45" t="s">
        <v>97</v>
      </c>
      <c r="G45" t="s">
        <v>133</v>
      </c>
      <c r="H45" t="s">
        <v>47</v>
      </c>
      <c r="I45" t="str">
        <f>_xlfn.XLOOKUP(H45,Charge_Reference!A:A,Charge_Reference!B:B)</f>
        <v>Dental Cleaning</v>
      </c>
      <c r="J45" s="8">
        <v>-244.16659999999999</v>
      </c>
      <c r="K45" t="s">
        <v>3</v>
      </c>
      <c r="L45" t="str">
        <f t="shared" si="0"/>
        <v>No instructions needed</v>
      </c>
    </row>
    <row r="46" spans="1:12" x14ac:dyDescent="0.3">
      <c r="A46">
        <v>45</v>
      </c>
      <c r="B46">
        <v>20</v>
      </c>
      <c r="C46">
        <v>145</v>
      </c>
      <c r="D46" t="s">
        <v>68</v>
      </c>
      <c r="E46" t="s">
        <v>41</v>
      </c>
      <c r="F46" t="s">
        <v>94</v>
      </c>
      <c r="G46" t="s">
        <v>134</v>
      </c>
      <c r="H46" t="s">
        <v>59</v>
      </c>
      <c r="I46" t="str">
        <f>_xlfn.XLOOKUP(H46,Charge_Reference!A:A,Charge_Reference!B:B)</f>
        <v>Office Visit</v>
      </c>
      <c r="J46" s="8">
        <v>-258.68130000000002</v>
      </c>
      <c r="K46" t="s">
        <v>5</v>
      </c>
      <c r="L46" t="str">
        <f t="shared" si="0"/>
        <v>No instructions needed</v>
      </c>
    </row>
    <row r="47" spans="1:12" x14ac:dyDescent="0.3">
      <c r="A47">
        <v>46</v>
      </c>
      <c r="B47">
        <v>7</v>
      </c>
      <c r="C47">
        <v>27</v>
      </c>
      <c r="D47" t="s">
        <v>70</v>
      </c>
      <c r="E47" t="s">
        <v>29</v>
      </c>
      <c r="F47" t="s">
        <v>135</v>
      </c>
      <c r="G47" t="s">
        <v>136</v>
      </c>
      <c r="H47" t="s">
        <v>59</v>
      </c>
      <c r="I47" t="str">
        <f>_xlfn.XLOOKUP(H47,Charge_Reference!A:A,Charge_Reference!B:B)</f>
        <v>Office Visit</v>
      </c>
      <c r="J47" s="8">
        <v>-16.712499999999999</v>
      </c>
      <c r="K47" t="s">
        <v>5</v>
      </c>
      <c r="L47" t="str">
        <f t="shared" si="0"/>
        <v>No instructions needed</v>
      </c>
    </row>
    <row r="48" spans="1:12" x14ac:dyDescent="0.3">
      <c r="A48">
        <v>47</v>
      </c>
      <c r="B48">
        <v>75</v>
      </c>
      <c r="C48">
        <v>86</v>
      </c>
      <c r="D48" t="s">
        <v>70</v>
      </c>
      <c r="E48" t="s">
        <v>41</v>
      </c>
      <c r="F48" t="s">
        <v>66</v>
      </c>
      <c r="G48" t="s">
        <v>137</v>
      </c>
      <c r="H48" t="s">
        <v>55</v>
      </c>
      <c r="I48" t="str">
        <f>_xlfn.XLOOKUP(H48,Charge_Reference!A:A,Charge_Reference!B:B)</f>
        <v>Vaccination</v>
      </c>
      <c r="J48" s="8">
        <v>550.25019999999995</v>
      </c>
      <c r="K48" t="s">
        <v>5</v>
      </c>
      <c r="L48" t="str">
        <f t="shared" si="0"/>
        <v>No instructions needed</v>
      </c>
    </row>
    <row r="49" spans="1:12" x14ac:dyDescent="0.3">
      <c r="A49">
        <v>48</v>
      </c>
      <c r="B49">
        <v>23</v>
      </c>
      <c r="C49">
        <v>117</v>
      </c>
      <c r="D49" t="s">
        <v>120</v>
      </c>
      <c r="E49" t="s">
        <v>41</v>
      </c>
      <c r="F49" t="s">
        <v>53</v>
      </c>
      <c r="G49" t="s">
        <v>138</v>
      </c>
      <c r="H49" t="s">
        <v>59</v>
      </c>
      <c r="I49" t="str">
        <f>_xlfn.XLOOKUP(H49,Charge_Reference!A:A,Charge_Reference!B:B)</f>
        <v>Office Visit</v>
      </c>
      <c r="J49" s="8">
        <v>-256.26909999999998</v>
      </c>
      <c r="K49" t="s">
        <v>3</v>
      </c>
      <c r="L49" t="str">
        <f t="shared" si="0"/>
        <v>No instructions needed</v>
      </c>
    </row>
    <row r="50" spans="1:12" x14ac:dyDescent="0.3">
      <c r="A50">
        <v>49</v>
      </c>
      <c r="B50">
        <v>127</v>
      </c>
      <c r="C50">
        <v>61</v>
      </c>
      <c r="D50" t="s">
        <v>139</v>
      </c>
      <c r="E50" t="s">
        <v>41</v>
      </c>
      <c r="F50" t="s">
        <v>131</v>
      </c>
      <c r="G50" t="s">
        <v>140</v>
      </c>
      <c r="H50" t="s">
        <v>64</v>
      </c>
      <c r="I50" t="str">
        <f>_xlfn.XLOOKUP(H50,Charge_Reference!A:A,Charge_Reference!B:B)</f>
        <v>Nail Trim</v>
      </c>
      <c r="J50" s="8">
        <v>785.48889999999994</v>
      </c>
      <c r="K50" t="s">
        <v>5</v>
      </c>
      <c r="L50" t="str">
        <f t="shared" si="0"/>
        <v>No instructions needed</v>
      </c>
    </row>
    <row r="51" spans="1:12" x14ac:dyDescent="0.3">
      <c r="A51">
        <v>50</v>
      </c>
      <c r="B51">
        <v>128</v>
      </c>
      <c r="C51">
        <v>29</v>
      </c>
      <c r="D51" t="s">
        <v>89</v>
      </c>
      <c r="E51" t="s">
        <v>41</v>
      </c>
      <c r="F51" t="s">
        <v>38</v>
      </c>
      <c r="G51" t="s">
        <v>141</v>
      </c>
      <c r="H51" t="s">
        <v>55</v>
      </c>
      <c r="I51" t="str">
        <f>_xlfn.XLOOKUP(H51,Charge_Reference!A:A,Charge_Reference!B:B)</f>
        <v>Vaccination</v>
      </c>
      <c r="J51" s="8">
        <v>-125.916</v>
      </c>
      <c r="K51" t="s">
        <v>3</v>
      </c>
      <c r="L51" t="str">
        <f t="shared" si="0"/>
        <v>No instructions needed</v>
      </c>
    </row>
    <row r="52" spans="1:12" x14ac:dyDescent="0.3">
      <c r="A52">
        <v>51</v>
      </c>
      <c r="B52">
        <v>143</v>
      </c>
      <c r="C52">
        <v>77</v>
      </c>
      <c r="D52" t="s">
        <v>142</v>
      </c>
      <c r="E52" t="s">
        <v>41</v>
      </c>
      <c r="F52" t="s">
        <v>107</v>
      </c>
      <c r="G52" t="s">
        <v>143</v>
      </c>
      <c r="H52" t="s">
        <v>59</v>
      </c>
      <c r="I52" t="str">
        <f>_xlfn.XLOOKUP(H52,Charge_Reference!A:A,Charge_Reference!B:B)</f>
        <v>Office Visit</v>
      </c>
      <c r="J52" s="8">
        <v>135.88939999999999</v>
      </c>
      <c r="K52" t="s">
        <v>5</v>
      </c>
      <c r="L52" t="str">
        <f t="shared" si="0"/>
        <v>No instructions needed</v>
      </c>
    </row>
    <row r="53" spans="1:12" x14ac:dyDescent="0.3">
      <c r="A53">
        <v>52</v>
      </c>
      <c r="B53">
        <v>192</v>
      </c>
      <c r="C53">
        <v>49</v>
      </c>
      <c r="D53" t="s">
        <v>120</v>
      </c>
      <c r="E53" t="s">
        <v>41</v>
      </c>
      <c r="F53" t="s">
        <v>61</v>
      </c>
      <c r="G53" t="s">
        <v>144</v>
      </c>
      <c r="H53" t="s">
        <v>64</v>
      </c>
      <c r="I53" t="str">
        <f>_xlfn.XLOOKUP(H53,Charge_Reference!A:A,Charge_Reference!B:B)</f>
        <v>Nail Trim</v>
      </c>
      <c r="J53" s="8">
        <v>-219.43379999999999</v>
      </c>
      <c r="K53" t="s">
        <v>5</v>
      </c>
      <c r="L53" t="str">
        <f t="shared" si="0"/>
        <v>No instructions needed</v>
      </c>
    </row>
    <row r="54" spans="1:12" x14ac:dyDescent="0.3">
      <c r="A54">
        <v>53</v>
      </c>
      <c r="B54">
        <v>75</v>
      </c>
      <c r="C54">
        <v>14</v>
      </c>
      <c r="D54" t="s">
        <v>120</v>
      </c>
      <c r="E54" t="s">
        <v>41</v>
      </c>
      <c r="F54" t="s">
        <v>145</v>
      </c>
      <c r="G54" t="s">
        <v>146</v>
      </c>
      <c r="H54" t="s">
        <v>64</v>
      </c>
      <c r="I54" t="str">
        <f>_xlfn.XLOOKUP(H54,Charge_Reference!A:A,Charge_Reference!B:B)</f>
        <v>Nail Trim</v>
      </c>
      <c r="J54" s="8">
        <v>643.41369999999995</v>
      </c>
      <c r="K54" t="s">
        <v>5</v>
      </c>
      <c r="L54" t="str">
        <f t="shared" si="0"/>
        <v>No instructions needed</v>
      </c>
    </row>
    <row r="55" spans="1:12" x14ac:dyDescent="0.3">
      <c r="A55">
        <v>54</v>
      </c>
      <c r="B55">
        <v>191</v>
      </c>
      <c r="C55">
        <v>33</v>
      </c>
      <c r="D55" t="s">
        <v>28</v>
      </c>
      <c r="E55" t="s">
        <v>41</v>
      </c>
      <c r="F55" t="s">
        <v>131</v>
      </c>
      <c r="G55" t="s">
        <v>133</v>
      </c>
      <c r="H55" t="s">
        <v>36</v>
      </c>
      <c r="I55" t="str">
        <f>_xlfn.XLOOKUP(H55,Charge_Reference!A:A,Charge_Reference!B:B)</f>
        <v>Emergency Visit</v>
      </c>
      <c r="J55" s="8">
        <v>529.73260000000005</v>
      </c>
      <c r="K55" t="s">
        <v>5</v>
      </c>
      <c r="L55" t="str">
        <f t="shared" si="0"/>
        <v>No instructions needed</v>
      </c>
    </row>
    <row r="56" spans="1:12" x14ac:dyDescent="0.3">
      <c r="A56">
        <v>55</v>
      </c>
      <c r="B56">
        <v>200</v>
      </c>
      <c r="C56">
        <v>65</v>
      </c>
      <c r="D56" t="s">
        <v>147</v>
      </c>
      <c r="E56" t="s">
        <v>41</v>
      </c>
      <c r="F56" t="s">
        <v>61</v>
      </c>
      <c r="G56" t="s">
        <v>148</v>
      </c>
      <c r="H56" t="s">
        <v>36</v>
      </c>
      <c r="I56" t="str">
        <f>_xlfn.XLOOKUP(H56,Charge_Reference!A:A,Charge_Reference!B:B)</f>
        <v>Emergency Visit</v>
      </c>
      <c r="J56" s="8">
        <v>-199.5264</v>
      </c>
      <c r="K56" t="s">
        <v>5</v>
      </c>
      <c r="L56" t="str">
        <f t="shared" si="0"/>
        <v>No instructions needed</v>
      </c>
    </row>
    <row r="57" spans="1:12" x14ac:dyDescent="0.3">
      <c r="A57">
        <v>56</v>
      </c>
      <c r="B57">
        <v>152</v>
      </c>
      <c r="C57">
        <v>42</v>
      </c>
      <c r="D57" t="s">
        <v>149</v>
      </c>
      <c r="E57" t="s">
        <v>41</v>
      </c>
      <c r="F57" t="s">
        <v>97</v>
      </c>
      <c r="G57" t="s">
        <v>150</v>
      </c>
      <c r="H57" t="s">
        <v>55</v>
      </c>
      <c r="I57" t="str">
        <f>_xlfn.XLOOKUP(H57,Charge_Reference!A:A,Charge_Reference!B:B)</f>
        <v>Vaccination</v>
      </c>
      <c r="J57" s="8">
        <v>-256.82279999999997</v>
      </c>
      <c r="K57" t="s">
        <v>5</v>
      </c>
      <c r="L57" t="str">
        <f t="shared" si="0"/>
        <v>No instructions needed</v>
      </c>
    </row>
    <row r="58" spans="1:12" x14ac:dyDescent="0.3">
      <c r="A58">
        <v>57</v>
      </c>
      <c r="B58">
        <v>41</v>
      </c>
      <c r="C58">
        <v>53</v>
      </c>
      <c r="D58" t="s">
        <v>96</v>
      </c>
      <c r="E58" t="s">
        <v>29</v>
      </c>
      <c r="F58" t="s">
        <v>151</v>
      </c>
      <c r="G58" t="s">
        <v>152</v>
      </c>
      <c r="H58" t="s">
        <v>36</v>
      </c>
      <c r="I58" t="str">
        <f>_xlfn.XLOOKUP(H58,Charge_Reference!A:A,Charge_Reference!B:B)</f>
        <v>Emergency Visit</v>
      </c>
      <c r="J58" s="8">
        <v>742.71910000000003</v>
      </c>
      <c r="K58" t="s">
        <v>7</v>
      </c>
      <c r="L58" t="str">
        <f t="shared" si="0"/>
        <v>No instructions needed</v>
      </c>
    </row>
    <row r="59" spans="1:12" x14ac:dyDescent="0.3">
      <c r="A59">
        <v>58</v>
      </c>
      <c r="B59">
        <v>118</v>
      </c>
      <c r="C59">
        <v>79</v>
      </c>
      <c r="D59" t="s">
        <v>81</v>
      </c>
      <c r="E59" t="s">
        <v>29</v>
      </c>
      <c r="F59" t="s">
        <v>102</v>
      </c>
      <c r="G59" t="s">
        <v>153</v>
      </c>
      <c r="H59" t="s">
        <v>32</v>
      </c>
      <c r="I59" t="str">
        <f>_xlfn.XLOOKUP(H59,Charge_Reference!A:A,Charge_Reference!B:B)</f>
        <v>Surgery</v>
      </c>
      <c r="J59" s="8">
        <v>-25.616199999999999</v>
      </c>
      <c r="K59" t="s">
        <v>5</v>
      </c>
      <c r="L59" t="str">
        <f t="shared" si="0"/>
        <v>Needs TGH instructions</v>
      </c>
    </row>
    <row r="60" spans="1:12" x14ac:dyDescent="0.3">
      <c r="A60">
        <v>59</v>
      </c>
      <c r="B60">
        <v>99</v>
      </c>
      <c r="C60">
        <v>134</v>
      </c>
      <c r="D60" t="s">
        <v>154</v>
      </c>
      <c r="E60" t="s">
        <v>29</v>
      </c>
      <c r="F60" t="s">
        <v>30</v>
      </c>
      <c r="G60" t="s">
        <v>155</v>
      </c>
      <c r="H60" t="s">
        <v>51</v>
      </c>
      <c r="I60" t="str">
        <f>_xlfn.XLOOKUP(H60,Charge_Reference!A:A,Charge_Reference!B:B)</f>
        <v>Radiographs</v>
      </c>
      <c r="J60" s="8">
        <v>785.63409999999999</v>
      </c>
      <c r="K60" t="s">
        <v>7</v>
      </c>
      <c r="L60" t="str">
        <f t="shared" si="0"/>
        <v>No instructions needed</v>
      </c>
    </row>
    <row r="61" spans="1:12" x14ac:dyDescent="0.3">
      <c r="A61">
        <v>60</v>
      </c>
      <c r="B61">
        <v>38</v>
      </c>
      <c r="C61">
        <v>10</v>
      </c>
      <c r="D61" t="s">
        <v>37</v>
      </c>
      <c r="E61" t="s">
        <v>41</v>
      </c>
      <c r="F61" t="s">
        <v>45</v>
      </c>
      <c r="G61" t="s">
        <v>156</v>
      </c>
      <c r="H61" t="s">
        <v>64</v>
      </c>
      <c r="I61" t="str">
        <f>_xlfn.XLOOKUP(H61,Charge_Reference!A:A,Charge_Reference!B:B)</f>
        <v>Nail Trim</v>
      </c>
      <c r="J61" s="8">
        <v>773.23950000000002</v>
      </c>
      <c r="K61" t="s">
        <v>5</v>
      </c>
      <c r="L61" t="str">
        <f t="shared" si="0"/>
        <v>No instructions needed</v>
      </c>
    </row>
    <row r="62" spans="1:12" x14ac:dyDescent="0.3">
      <c r="A62">
        <v>61</v>
      </c>
      <c r="B62">
        <v>38</v>
      </c>
      <c r="C62">
        <v>34</v>
      </c>
      <c r="D62" t="s">
        <v>78</v>
      </c>
      <c r="E62" t="s">
        <v>41</v>
      </c>
      <c r="F62" t="s">
        <v>34</v>
      </c>
      <c r="G62" t="s">
        <v>157</v>
      </c>
      <c r="H62" t="s">
        <v>55</v>
      </c>
      <c r="I62" t="str">
        <f>_xlfn.XLOOKUP(H62,Charge_Reference!A:A,Charge_Reference!B:B)</f>
        <v>Vaccination</v>
      </c>
      <c r="J62" s="8">
        <v>-20.602699999999999</v>
      </c>
      <c r="K62" t="s">
        <v>3</v>
      </c>
      <c r="L62" t="str">
        <f t="shared" si="0"/>
        <v>No instructions needed</v>
      </c>
    </row>
    <row r="63" spans="1:12" x14ac:dyDescent="0.3">
      <c r="A63">
        <v>62</v>
      </c>
      <c r="B63">
        <v>83</v>
      </c>
      <c r="C63">
        <v>132</v>
      </c>
      <c r="D63" t="s">
        <v>158</v>
      </c>
      <c r="E63" t="s">
        <v>29</v>
      </c>
      <c r="F63" t="s">
        <v>94</v>
      </c>
      <c r="G63" t="s">
        <v>159</v>
      </c>
      <c r="H63" t="s">
        <v>36</v>
      </c>
      <c r="I63" t="str">
        <f>_xlfn.XLOOKUP(H63,Charge_Reference!A:A,Charge_Reference!B:B)</f>
        <v>Emergency Visit</v>
      </c>
      <c r="J63" s="8">
        <v>446.61790000000002</v>
      </c>
      <c r="K63" t="s">
        <v>5</v>
      </c>
      <c r="L63" t="str">
        <f t="shared" si="0"/>
        <v>No instructions needed</v>
      </c>
    </row>
    <row r="64" spans="1:12" x14ac:dyDescent="0.3">
      <c r="A64">
        <v>63</v>
      </c>
      <c r="B64">
        <v>89</v>
      </c>
      <c r="C64">
        <v>107</v>
      </c>
      <c r="D64" t="s">
        <v>115</v>
      </c>
      <c r="E64" t="s">
        <v>41</v>
      </c>
      <c r="F64" t="s">
        <v>107</v>
      </c>
      <c r="G64" t="s">
        <v>105</v>
      </c>
      <c r="H64" t="s">
        <v>47</v>
      </c>
      <c r="I64" t="str">
        <f>_xlfn.XLOOKUP(H64,Charge_Reference!A:A,Charge_Reference!B:B)</f>
        <v>Dental Cleaning</v>
      </c>
      <c r="J64" s="8">
        <v>915.48050000000001</v>
      </c>
      <c r="K64" t="s">
        <v>7</v>
      </c>
      <c r="L64" t="str">
        <f t="shared" si="0"/>
        <v>No instructions needed</v>
      </c>
    </row>
    <row r="65" spans="1:12" x14ac:dyDescent="0.3">
      <c r="A65">
        <v>64</v>
      </c>
      <c r="B65">
        <v>151</v>
      </c>
      <c r="C65">
        <v>98</v>
      </c>
      <c r="D65" t="s">
        <v>33</v>
      </c>
      <c r="E65" t="s">
        <v>29</v>
      </c>
      <c r="F65" t="s">
        <v>160</v>
      </c>
      <c r="G65" t="s">
        <v>161</v>
      </c>
      <c r="H65" t="s">
        <v>51</v>
      </c>
      <c r="I65" t="str">
        <f>_xlfn.XLOOKUP(H65,Charge_Reference!A:A,Charge_Reference!B:B)</f>
        <v>Radiographs</v>
      </c>
      <c r="J65" s="8">
        <v>-287.96890000000002</v>
      </c>
      <c r="K65" t="s">
        <v>7</v>
      </c>
      <c r="L65" t="str">
        <f t="shared" si="0"/>
        <v>No instructions needed</v>
      </c>
    </row>
    <row r="66" spans="1:12" x14ac:dyDescent="0.3">
      <c r="A66">
        <v>65</v>
      </c>
      <c r="B66">
        <v>164</v>
      </c>
      <c r="C66">
        <v>77</v>
      </c>
      <c r="D66" t="s">
        <v>162</v>
      </c>
      <c r="E66" t="s">
        <v>41</v>
      </c>
      <c r="F66" t="s">
        <v>97</v>
      </c>
      <c r="G66" t="s">
        <v>163</v>
      </c>
      <c r="H66" t="s">
        <v>40</v>
      </c>
      <c r="I66" t="str">
        <f>_xlfn.XLOOKUP(H66,Charge_Reference!A:A,Charge_Reference!B:B)</f>
        <v>Annual Bloodwork</v>
      </c>
      <c r="J66" s="8">
        <v>353.38470000000001</v>
      </c>
      <c r="K66" t="s">
        <v>3</v>
      </c>
      <c r="L66" t="str">
        <f t="shared" si="0"/>
        <v>No instructions needed</v>
      </c>
    </row>
    <row r="67" spans="1:12" x14ac:dyDescent="0.3">
      <c r="A67">
        <v>66</v>
      </c>
      <c r="B67">
        <v>124</v>
      </c>
      <c r="C67">
        <v>100</v>
      </c>
      <c r="D67" t="s">
        <v>139</v>
      </c>
      <c r="E67" t="s">
        <v>41</v>
      </c>
      <c r="F67" t="s">
        <v>94</v>
      </c>
      <c r="G67" t="s">
        <v>164</v>
      </c>
      <c r="H67" t="s">
        <v>64</v>
      </c>
      <c r="I67" t="str">
        <f>_xlfn.XLOOKUP(H67,Charge_Reference!A:A,Charge_Reference!B:B)</f>
        <v>Nail Trim</v>
      </c>
      <c r="J67" s="8">
        <v>45.528799999999997</v>
      </c>
      <c r="K67" t="s">
        <v>5</v>
      </c>
      <c r="L67" t="str">
        <f t="shared" ref="L67:L130" si="1">IF(I67 = "Surgery", "Needs TGH instructions", "No instructions needed")</f>
        <v>No instructions needed</v>
      </c>
    </row>
    <row r="68" spans="1:12" x14ac:dyDescent="0.3">
      <c r="A68">
        <v>67</v>
      </c>
      <c r="B68">
        <v>186</v>
      </c>
      <c r="C68">
        <v>63</v>
      </c>
      <c r="D68" t="s">
        <v>33</v>
      </c>
      <c r="E68" t="s">
        <v>41</v>
      </c>
      <c r="F68" t="s">
        <v>71</v>
      </c>
      <c r="G68" t="s">
        <v>165</v>
      </c>
      <c r="H68" t="s">
        <v>32</v>
      </c>
      <c r="I68" t="str">
        <f>_xlfn.XLOOKUP(H68,Charge_Reference!A:A,Charge_Reference!B:B)</f>
        <v>Surgery</v>
      </c>
      <c r="J68" s="8">
        <v>573.40300000000002</v>
      </c>
      <c r="K68" t="s">
        <v>5</v>
      </c>
      <c r="L68" t="str">
        <f t="shared" si="1"/>
        <v>Needs TGH instructions</v>
      </c>
    </row>
    <row r="69" spans="1:12" x14ac:dyDescent="0.3">
      <c r="A69">
        <v>68</v>
      </c>
      <c r="B69">
        <v>115</v>
      </c>
      <c r="C69">
        <v>126</v>
      </c>
      <c r="D69" t="s">
        <v>158</v>
      </c>
      <c r="E69" t="s">
        <v>29</v>
      </c>
      <c r="F69" t="s">
        <v>151</v>
      </c>
      <c r="G69" t="s">
        <v>166</v>
      </c>
      <c r="H69" t="s">
        <v>47</v>
      </c>
      <c r="I69" t="str">
        <f>_xlfn.XLOOKUP(H69,Charge_Reference!A:A,Charge_Reference!B:B)</f>
        <v>Dental Cleaning</v>
      </c>
      <c r="J69" s="8">
        <v>-237.63839999999999</v>
      </c>
      <c r="K69" t="s">
        <v>3</v>
      </c>
      <c r="L69" t="str">
        <f t="shared" si="1"/>
        <v>No instructions needed</v>
      </c>
    </row>
    <row r="70" spans="1:12" x14ac:dyDescent="0.3">
      <c r="A70">
        <v>69</v>
      </c>
      <c r="B70">
        <v>152</v>
      </c>
      <c r="C70">
        <v>68</v>
      </c>
      <c r="D70" t="s">
        <v>139</v>
      </c>
      <c r="E70" t="s">
        <v>41</v>
      </c>
      <c r="F70" t="s">
        <v>94</v>
      </c>
      <c r="G70" t="s">
        <v>167</v>
      </c>
      <c r="H70" t="s">
        <v>55</v>
      </c>
      <c r="I70" t="str">
        <f>_xlfn.XLOOKUP(H70,Charge_Reference!A:A,Charge_Reference!B:B)</f>
        <v>Vaccination</v>
      </c>
      <c r="J70" s="8">
        <v>-217.32579999999999</v>
      </c>
      <c r="K70" t="s">
        <v>7</v>
      </c>
      <c r="L70" t="str">
        <f t="shared" si="1"/>
        <v>No instructions needed</v>
      </c>
    </row>
    <row r="71" spans="1:12" x14ac:dyDescent="0.3">
      <c r="A71">
        <v>70</v>
      </c>
      <c r="B71">
        <v>109</v>
      </c>
      <c r="C71">
        <v>40</v>
      </c>
      <c r="D71" t="s">
        <v>91</v>
      </c>
      <c r="E71" t="s">
        <v>41</v>
      </c>
      <c r="F71" t="s">
        <v>73</v>
      </c>
      <c r="G71" t="s">
        <v>168</v>
      </c>
      <c r="H71" t="s">
        <v>59</v>
      </c>
      <c r="I71" t="str">
        <f>_xlfn.XLOOKUP(H71,Charge_Reference!A:A,Charge_Reference!B:B)</f>
        <v>Office Visit</v>
      </c>
      <c r="J71" s="8">
        <v>165.2636</v>
      </c>
      <c r="K71" t="s">
        <v>5</v>
      </c>
      <c r="L71" t="str">
        <f t="shared" si="1"/>
        <v>No instructions needed</v>
      </c>
    </row>
    <row r="72" spans="1:12" x14ac:dyDescent="0.3">
      <c r="A72">
        <v>71</v>
      </c>
      <c r="B72">
        <v>80</v>
      </c>
      <c r="C72">
        <v>28</v>
      </c>
      <c r="D72" t="s">
        <v>126</v>
      </c>
      <c r="E72" t="s">
        <v>41</v>
      </c>
      <c r="F72" t="s">
        <v>131</v>
      </c>
      <c r="G72" t="s">
        <v>169</v>
      </c>
      <c r="H72" t="s">
        <v>51</v>
      </c>
      <c r="I72" t="str">
        <f>_xlfn.XLOOKUP(H72,Charge_Reference!A:A,Charge_Reference!B:B)</f>
        <v>Radiographs</v>
      </c>
      <c r="J72" s="8">
        <v>-160.13210000000001</v>
      </c>
      <c r="K72" t="s">
        <v>5</v>
      </c>
      <c r="L72" t="str">
        <f t="shared" si="1"/>
        <v>No instructions needed</v>
      </c>
    </row>
    <row r="73" spans="1:12" x14ac:dyDescent="0.3">
      <c r="A73">
        <v>72</v>
      </c>
      <c r="B73">
        <v>65</v>
      </c>
      <c r="C73">
        <v>5</v>
      </c>
      <c r="D73" t="s">
        <v>109</v>
      </c>
      <c r="E73" t="s">
        <v>41</v>
      </c>
      <c r="F73" t="s">
        <v>42</v>
      </c>
      <c r="G73" t="s">
        <v>170</v>
      </c>
      <c r="H73" t="s">
        <v>55</v>
      </c>
      <c r="I73" t="str">
        <f>_xlfn.XLOOKUP(H73,Charge_Reference!A:A,Charge_Reference!B:B)</f>
        <v>Vaccination</v>
      </c>
      <c r="J73" s="8">
        <v>-17.937899999999999</v>
      </c>
      <c r="K73" t="s">
        <v>7</v>
      </c>
      <c r="L73" t="str">
        <f t="shared" si="1"/>
        <v>No instructions needed</v>
      </c>
    </row>
    <row r="74" spans="1:12" x14ac:dyDescent="0.3">
      <c r="A74">
        <v>73</v>
      </c>
      <c r="B74">
        <v>42</v>
      </c>
      <c r="C74">
        <v>68</v>
      </c>
      <c r="D74" t="s">
        <v>120</v>
      </c>
      <c r="E74" t="s">
        <v>41</v>
      </c>
      <c r="F74" t="s">
        <v>61</v>
      </c>
      <c r="G74" t="s">
        <v>54</v>
      </c>
      <c r="H74" t="s">
        <v>47</v>
      </c>
      <c r="I74" t="str">
        <f>_xlfn.XLOOKUP(H74,Charge_Reference!A:A,Charge_Reference!B:B)</f>
        <v>Dental Cleaning</v>
      </c>
      <c r="J74" s="8">
        <v>317.16789999999997</v>
      </c>
      <c r="K74" t="s">
        <v>3</v>
      </c>
      <c r="L74" t="str">
        <f t="shared" si="1"/>
        <v>No instructions needed</v>
      </c>
    </row>
    <row r="75" spans="1:12" x14ac:dyDescent="0.3">
      <c r="A75">
        <v>74</v>
      </c>
      <c r="B75">
        <v>172</v>
      </c>
      <c r="C75">
        <v>39</v>
      </c>
      <c r="D75" t="s">
        <v>48</v>
      </c>
      <c r="E75" t="s">
        <v>41</v>
      </c>
      <c r="F75" t="s">
        <v>171</v>
      </c>
      <c r="G75" t="s">
        <v>172</v>
      </c>
      <c r="H75" t="s">
        <v>40</v>
      </c>
      <c r="I75" t="str">
        <f>_xlfn.XLOOKUP(H75,Charge_Reference!A:A,Charge_Reference!B:B)</f>
        <v>Annual Bloodwork</v>
      </c>
      <c r="J75" s="8">
        <v>521.37620000000004</v>
      </c>
      <c r="K75" t="s">
        <v>3</v>
      </c>
      <c r="L75" t="str">
        <f t="shared" si="1"/>
        <v>No instructions needed</v>
      </c>
    </row>
    <row r="76" spans="1:12" x14ac:dyDescent="0.3">
      <c r="A76">
        <v>75</v>
      </c>
      <c r="B76">
        <v>189</v>
      </c>
      <c r="C76">
        <v>35</v>
      </c>
      <c r="D76" t="s">
        <v>84</v>
      </c>
      <c r="E76" t="s">
        <v>41</v>
      </c>
      <c r="F76" t="s">
        <v>34</v>
      </c>
      <c r="G76" t="s">
        <v>173</v>
      </c>
      <c r="H76" t="s">
        <v>32</v>
      </c>
      <c r="I76" t="str">
        <f>_xlfn.XLOOKUP(H76,Charge_Reference!A:A,Charge_Reference!B:B)</f>
        <v>Surgery</v>
      </c>
      <c r="J76" s="8">
        <v>-208.702</v>
      </c>
      <c r="K76" t="s">
        <v>3</v>
      </c>
      <c r="L76" t="str">
        <f t="shared" si="1"/>
        <v>Needs TGH instructions</v>
      </c>
    </row>
    <row r="77" spans="1:12" x14ac:dyDescent="0.3">
      <c r="A77">
        <v>76</v>
      </c>
      <c r="B77">
        <v>37</v>
      </c>
      <c r="C77">
        <v>114</v>
      </c>
      <c r="D77" t="s">
        <v>93</v>
      </c>
      <c r="E77" t="s">
        <v>41</v>
      </c>
      <c r="F77" t="s">
        <v>57</v>
      </c>
      <c r="G77" t="s">
        <v>174</v>
      </c>
      <c r="H77" t="s">
        <v>32</v>
      </c>
      <c r="I77" t="str">
        <f>_xlfn.XLOOKUP(H77,Charge_Reference!A:A,Charge_Reference!B:B)</f>
        <v>Surgery</v>
      </c>
      <c r="J77" s="8">
        <v>506.1814</v>
      </c>
      <c r="K77" t="s">
        <v>7</v>
      </c>
      <c r="L77" t="str">
        <f t="shared" si="1"/>
        <v>Needs TGH instructions</v>
      </c>
    </row>
    <row r="78" spans="1:12" x14ac:dyDescent="0.3">
      <c r="A78">
        <v>77</v>
      </c>
      <c r="B78">
        <v>167</v>
      </c>
      <c r="C78">
        <v>2</v>
      </c>
      <c r="D78" t="s">
        <v>130</v>
      </c>
      <c r="E78" t="s">
        <v>41</v>
      </c>
      <c r="F78" t="s">
        <v>71</v>
      </c>
      <c r="G78" t="s">
        <v>175</v>
      </c>
      <c r="H78" t="s">
        <v>64</v>
      </c>
      <c r="I78" t="str">
        <f>_xlfn.XLOOKUP(H78,Charge_Reference!A:A,Charge_Reference!B:B)</f>
        <v>Nail Trim</v>
      </c>
      <c r="J78" s="8">
        <v>686.68769999999995</v>
      </c>
      <c r="K78" t="s">
        <v>3</v>
      </c>
      <c r="L78" t="str">
        <f t="shared" si="1"/>
        <v>No instructions needed</v>
      </c>
    </row>
    <row r="79" spans="1:12" x14ac:dyDescent="0.3">
      <c r="A79">
        <v>78</v>
      </c>
      <c r="B79">
        <v>142</v>
      </c>
      <c r="C79">
        <v>62</v>
      </c>
      <c r="D79" t="s">
        <v>176</v>
      </c>
      <c r="E79" t="s">
        <v>41</v>
      </c>
      <c r="F79" t="s">
        <v>97</v>
      </c>
      <c r="G79" t="s">
        <v>177</v>
      </c>
      <c r="H79" t="s">
        <v>51</v>
      </c>
      <c r="I79" t="str">
        <f>_xlfn.XLOOKUP(H79,Charge_Reference!A:A,Charge_Reference!B:B)</f>
        <v>Radiographs</v>
      </c>
      <c r="J79" s="8">
        <v>270.72250000000003</v>
      </c>
      <c r="K79" t="s">
        <v>5</v>
      </c>
      <c r="L79" t="str">
        <f t="shared" si="1"/>
        <v>No instructions needed</v>
      </c>
    </row>
    <row r="80" spans="1:12" x14ac:dyDescent="0.3">
      <c r="A80">
        <v>79</v>
      </c>
      <c r="B80">
        <v>122</v>
      </c>
      <c r="C80">
        <v>73</v>
      </c>
      <c r="D80" t="s">
        <v>158</v>
      </c>
      <c r="E80" t="s">
        <v>41</v>
      </c>
      <c r="F80" t="s">
        <v>73</v>
      </c>
      <c r="G80" t="s">
        <v>178</v>
      </c>
      <c r="H80" t="s">
        <v>36</v>
      </c>
      <c r="I80" t="str">
        <f>_xlfn.XLOOKUP(H80,Charge_Reference!A:A,Charge_Reference!B:B)</f>
        <v>Emergency Visit</v>
      </c>
      <c r="J80" s="8">
        <v>419.98489999999998</v>
      </c>
      <c r="K80" t="s">
        <v>5</v>
      </c>
      <c r="L80" t="str">
        <f t="shared" si="1"/>
        <v>No instructions needed</v>
      </c>
    </row>
    <row r="81" spans="1:12" x14ac:dyDescent="0.3">
      <c r="A81">
        <v>80</v>
      </c>
      <c r="B81">
        <v>115</v>
      </c>
      <c r="C81">
        <v>16</v>
      </c>
      <c r="D81" t="s">
        <v>179</v>
      </c>
      <c r="E81" t="s">
        <v>41</v>
      </c>
      <c r="F81" t="s">
        <v>118</v>
      </c>
      <c r="G81" t="s">
        <v>180</v>
      </c>
      <c r="H81" t="s">
        <v>64</v>
      </c>
      <c r="I81" t="str">
        <f>_xlfn.XLOOKUP(H81,Charge_Reference!A:A,Charge_Reference!B:B)</f>
        <v>Nail Trim</v>
      </c>
      <c r="J81" s="8">
        <v>-34.894399999999997</v>
      </c>
      <c r="K81" t="s">
        <v>3</v>
      </c>
      <c r="L81" t="str">
        <f t="shared" si="1"/>
        <v>No instructions needed</v>
      </c>
    </row>
    <row r="82" spans="1:12" x14ac:dyDescent="0.3">
      <c r="A82">
        <v>81</v>
      </c>
      <c r="B82">
        <v>153</v>
      </c>
      <c r="C82">
        <v>78</v>
      </c>
      <c r="D82" t="s">
        <v>101</v>
      </c>
      <c r="E82" t="s">
        <v>41</v>
      </c>
      <c r="F82" t="s">
        <v>94</v>
      </c>
      <c r="G82" t="s">
        <v>172</v>
      </c>
      <c r="H82" t="s">
        <v>59</v>
      </c>
      <c r="I82" t="str">
        <f>_xlfn.XLOOKUP(H82,Charge_Reference!A:A,Charge_Reference!B:B)</f>
        <v>Office Visit</v>
      </c>
      <c r="J82" s="8">
        <v>55.672800000000002</v>
      </c>
      <c r="K82" t="s">
        <v>7</v>
      </c>
      <c r="L82" t="str">
        <f t="shared" si="1"/>
        <v>No instructions needed</v>
      </c>
    </row>
    <row r="83" spans="1:12" x14ac:dyDescent="0.3">
      <c r="A83">
        <v>82</v>
      </c>
      <c r="B83">
        <v>142</v>
      </c>
      <c r="C83">
        <v>147</v>
      </c>
      <c r="D83" t="s">
        <v>28</v>
      </c>
      <c r="E83" t="s">
        <v>41</v>
      </c>
      <c r="F83" t="s">
        <v>82</v>
      </c>
      <c r="G83" t="s">
        <v>181</v>
      </c>
      <c r="H83" t="s">
        <v>51</v>
      </c>
      <c r="I83" t="str">
        <f>_xlfn.XLOOKUP(H83,Charge_Reference!A:A,Charge_Reference!B:B)</f>
        <v>Radiographs</v>
      </c>
      <c r="J83" s="8">
        <v>567.61080000000004</v>
      </c>
      <c r="K83" t="s">
        <v>5</v>
      </c>
      <c r="L83" t="str">
        <f t="shared" si="1"/>
        <v>No instructions needed</v>
      </c>
    </row>
    <row r="84" spans="1:12" x14ac:dyDescent="0.3">
      <c r="A84">
        <v>83</v>
      </c>
      <c r="B84">
        <v>15</v>
      </c>
      <c r="C84">
        <v>44</v>
      </c>
      <c r="D84" t="s">
        <v>154</v>
      </c>
      <c r="E84" t="s">
        <v>29</v>
      </c>
      <c r="F84" t="s">
        <v>45</v>
      </c>
      <c r="G84" t="s">
        <v>182</v>
      </c>
      <c r="H84" t="s">
        <v>55</v>
      </c>
      <c r="I84" t="str">
        <f>_xlfn.XLOOKUP(H84,Charge_Reference!A:A,Charge_Reference!B:B)</f>
        <v>Vaccination</v>
      </c>
      <c r="J84" s="8">
        <v>728.22280000000001</v>
      </c>
      <c r="K84" t="s">
        <v>3</v>
      </c>
      <c r="L84" t="str">
        <f t="shared" si="1"/>
        <v>No instructions needed</v>
      </c>
    </row>
    <row r="85" spans="1:12" x14ac:dyDescent="0.3">
      <c r="A85">
        <v>84</v>
      </c>
      <c r="B85">
        <v>117</v>
      </c>
      <c r="C85">
        <v>137</v>
      </c>
      <c r="D85" t="s">
        <v>183</v>
      </c>
      <c r="E85" t="s">
        <v>29</v>
      </c>
      <c r="F85" t="s">
        <v>171</v>
      </c>
      <c r="G85" t="s">
        <v>184</v>
      </c>
      <c r="H85" t="s">
        <v>55</v>
      </c>
      <c r="I85" t="str">
        <f>_xlfn.XLOOKUP(H85,Charge_Reference!A:A,Charge_Reference!B:B)</f>
        <v>Vaccination</v>
      </c>
      <c r="J85" s="8">
        <v>220.16040000000001</v>
      </c>
      <c r="K85" t="s">
        <v>7</v>
      </c>
      <c r="L85" t="str">
        <f t="shared" si="1"/>
        <v>No instructions needed</v>
      </c>
    </row>
    <row r="86" spans="1:12" x14ac:dyDescent="0.3">
      <c r="A86">
        <v>85</v>
      </c>
      <c r="B86">
        <v>52</v>
      </c>
      <c r="C86">
        <v>71</v>
      </c>
      <c r="D86" t="s">
        <v>185</v>
      </c>
      <c r="E86" t="s">
        <v>41</v>
      </c>
      <c r="F86" t="s">
        <v>30</v>
      </c>
      <c r="G86" t="s">
        <v>186</v>
      </c>
      <c r="H86" t="s">
        <v>51</v>
      </c>
      <c r="I86" t="str">
        <f>_xlfn.XLOOKUP(H86,Charge_Reference!A:A,Charge_Reference!B:B)</f>
        <v>Radiographs</v>
      </c>
      <c r="J86" s="8">
        <v>403.38010000000003</v>
      </c>
      <c r="K86" t="s">
        <v>3</v>
      </c>
      <c r="L86" t="str">
        <f t="shared" si="1"/>
        <v>No instructions needed</v>
      </c>
    </row>
    <row r="87" spans="1:12" x14ac:dyDescent="0.3">
      <c r="A87">
        <v>86</v>
      </c>
      <c r="B87">
        <v>185</v>
      </c>
      <c r="C87">
        <v>66</v>
      </c>
      <c r="D87" t="s">
        <v>37</v>
      </c>
      <c r="E87" t="s">
        <v>29</v>
      </c>
      <c r="F87" t="s">
        <v>97</v>
      </c>
      <c r="G87" t="s">
        <v>165</v>
      </c>
      <c r="H87" t="s">
        <v>51</v>
      </c>
      <c r="I87" t="str">
        <f>_xlfn.XLOOKUP(H87,Charge_Reference!A:A,Charge_Reference!B:B)</f>
        <v>Radiographs</v>
      </c>
      <c r="J87" s="8">
        <v>94.097099999999998</v>
      </c>
      <c r="K87" t="s">
        <v>5</v>
      </c>
      <c r="L87" t="str">
        <f t="shared" si="1"/>
        <v>No instructions needed</v>
      </c>
    </row>
    <row r="88" spans="1:12" x14ac:dyDescent="0.3">
      <c r="A88">
        <v>87</v>
      </c>
      <c r="B88">
        <v>13</v>
      </c>
      <c r="C88">
        <v>39</v>
      </c>
      <c r="D88" t="s">
        <v>126</v>
      </c>
      <c r="E88" t="s">
        <v>29</v>
      </c>
      <c r="F88" t="s">
        <v>118</v>
      </c>
      <c r="G88" t="s">
        <v>187</v>
      </c>
      <c r="H88" t="s">
        <v>40</v>
      </c>
      <c r="I88" t="str">
        <f>_xlfn.XLOOKUP(H88,Charge_Reference!A:A,Charge_Reference!B:B)</f>
        <v>Annual Bloodwork</v>
      </c>
      <c r="J88" s="8">
        <v>742.71019999999999</v>
      </c>
      <c r="K88" t="s">
        <v>5</v>
      </c>
      <c r="L88" t="str">
        <f t="shared" si="1"/>
        <v>No instructions needed</v>
      </c>
    </row>
    <row r="89" spans="1:12" x14ac:dyDescent="0.3">
      <c r="A89">
        <v>88</v>
      </c>
      <c r="B89">
        <v>150</v>
      </c>
      <c r="C89">
        <v>98</v>
      </c>
      <c r="D89" t="s">
        <v>44</v>
      </c>
      <c r="E89" t="s">
        <v>29</v>
      </c>
      <c r="F89" t="s">
        <v>97</v>
      </c>
      <c r="G89" t="s">
        <v>141</v>
      </c>
      <c r="H89" t="s">
        <v>40</v>
      </c>
      <c r="I89" t="str">
        <f>_xlfn.XLOOKUP(H89,Charge_Reference!A:A,Charge_Reference!B:B)</f>
        <v>Annual Bloodwork</v>
      </c>
      <c r="J89" s="8">
        <v>31.267600000000002</v>
      </c>
      <c r="K89" t="s">
        <v>7</v>
      </c>
      <c r="L89" t="str">
        <f t="shared" si="1"/>
        <v>No instructions needed</v>
      </c>
    </row>
    <row r="90" spans="1:12" x14ac:dyDescent="0.3">
      <c r="A90">
        <v>89</v>
      </c>
      <c r="B90">
        <v>96</v>
      </c>
      <c r="C90">
        <v>67</v>
      </c>
      <c r="D90" t="s">
        <v>68</v>
      </c>
      <c r="E90" t="s">
        <v>29</v>
      </c>
      <c r="F90" t="s">
        <v>49</v>
      </c>
      <c r="G90" t="s">
        <v>124</v>
      </c>
      <c r="H90" t="s">
        <v>32</v>
      </c>
      <c r="I90" t="str">
        <f>_xlfn.XLOOKUP(H90,Charge_Reference!A:A,Charge_Reference!B:B)</f>
        <v>Surgery</v>
      </c>
      <c r="J90" s="8">
        <v>-170.65270000000001</v>
      </c>
      <c r="K90" t="s">
        <v>5</v>
      </c>
      <c r="L90" t="str">
        <f t="shared" si="1"/>
        <v>Needs TGH instructions</v>
      </c>
    </row>
    <row r="91" spans="1:12" x14ac:dyDescent="0.3">
      <c r="A91">
        <v>90</v>
      </c>
      <c r="B91">
        <v>65</v>
      </c>
      <c r="C91">
        <v>57</v>
      </c>
      <c r="D91" t="s">
        <v>188</v>
      </c>
      <c r="E91" t="s">
        <v>29</v>
      </c>
      <c r="F91" t="s">
        <v>49</v>
      </c>
      <c r="G91" t="s">
        <v>189</v>
      </c>
      <c r="H91" t="s">
        <v>32</v>
      </c>
      <c r="I91" t="str">
        <f>_xlfn.XLOOKUP(H91,Charge_Reference!A:A,Charge_Reference!B:B)</f>
        <v>Surgery</v>
      </c>
      <c r="J91" s="8">
        <v>867.29380000000003</v>
      </c>
      <c r="K91" t="s">
        <v>5</v>
      </c>
      <c r="L91" t="str">
        <f t="shared" si="1"/>
        <v>Needs TGH instructions</v>
      </c>
    </row>
    <row r="92" spans="1:12" x14ac:dyDescent="0.3">
      <c r="A92">
        <v>91</v>
      </c>
      <c r="B92">
        <v>142</v>
      </c>
      <c r="C92">
        <v>70</v>
      </c>
      <c r="D92" t="s">
        <v>128</v>
      </c>
      <c r="E92" t="s">
        <v>41</v>
      </c>
      <c r="F92" t="s">
        <v>73</v>
      </c>
      <c r="G92" t="s">
        <v>190</v>
      </c>
      <c r="H92" t="s">
        <v>51</v>
      </c>
      <c r="I92" t="str">
        <f>_xlfn.XLOOKUP(H92,Charge_Reference!A:A,Charge_Reference!B:B)</f>
        <v>Radiographs</v>
      </c>
      <c r="J92" s="8">
        <v>756.24950000000001</v>
      </c>
      <c r="K92" t="s">
        <v>7</v>
      </c>
      <c r="L92" t="str">
        <f t="shared" si="1"/>
        <v>No instructions needed</v>
      </c>
    </row>
    <row r="93" spans="1:12" x14ac:dyDescent="0.3">
      <c r="A93">
        <v>92</v>
      </c>
      <c r="B93">
        <v>62</v>
      </c>
      <c r="C93">
        <v>76</v>
      </c>
      <c r="D93" t="s">
        <v>191</v>
      </c>
      <c r="E93" t="s">
        <v>29</v>
      </c>
      <c r="F93" t="s">
        <v>53</v>
      </c>
      <c r="G93" t="s">
        <v>192</v>
      </c>
      <c r="H93" t="s">
        <v>59</v>
      </c>
      <c r="I93" t="str">
        <f>_xlfn.XLOOKUP(H93,Charge_Reference!A:A,Charge_Reference!B:B)</f>
        <v>Office Visit</v>
      </c>
      <c r="J93" s="8">
        <v>686.51580000000001</v>
      </c>
      <c r="K93" t="s">
        <v>7</v>
      </c>
      <c r="L93" t="str">
        <f t="shared" si="1"/>
        <v>No instructions needed</v>
      </c>
    </row>
    <row r="94" spans="1:12" x14ac:dyDescent="0.3">
      <c r="A94">
        <v>93</v>
      </c>
      <c r="B94">
        <v>144</v>
      </c>
      <c r="C94">
        <v>73</v>
      </c>
      <c r="D94" t="s">
        <v>68</v>
      </c>
      <c r="E94" t="s">
        <v>29</v>
      </c>
      <c r="F94" t="s">
        <v>34</v>
      </c>
      <c r="G94" t="s">
        <v>193</v>
      </c>
      <c r="H94" t="s">
        <v>51</v>
      </c>
      <c r="I94" t="str">
        <f>_xlfn.XLOOKUP(H94,Charge_Reference!A:A,Charge_Reference!B:B)</f>
        <v>Radiographs</v>
      </c>
      <c r="J94" s="8">
        <v>667.69730000000004</v>
      </c>
      <c r="K94" t="s">
        <v>7</v>
      </c>
      <c r="L94" t="str">
        <f t="shared" si="1"/>
        <v>No instructions needed</v>
      </c>
    </row>
    <row r="95" spans="1:12" x14ac:dyDescent="0.3">
      <c r="A95">
        <v>94</v>
      </c>
      <c r="B95">
        <v>150</v>
      </c>
      <c r="C95">
        <v>104</v>
      </c>
      <c r="D95" t="s">
        <v>78</v>
      </c>
      <c r="E95" t="s">
        <v>41</v>
      </c>
      <c r="F95" t="s">
        <v>151</v>
      </c>
      <c r="G95" t="s">
        <v>129</v>
      </c>
      <c r="H95" t="s">
        <v>55</v>
      </c>
      <c r="I95" t="str">
        <f>_xlfn.XLOOKUP(H95,Charge_Reference!A:A,Charge_Reference!B:B)</f>
        <v>Vaccination</v>
      </c>
      <c r="J95" s="8">
        <v>19.926500000000001</v>
      </c>
      <c r="K95" t="s">
        <v>5</v>
      </c>
      <c r="L95" t="str">
        <f t="shared" si="1"/>
        <v>No instructions needed</v>
      </c>
    </row>
    <row r="96" spans="1:12" x14ac:dyDescent="0.3">
      <c r="A96">
        <v>95</v>
      </c>
      <c r="B96">
        <v>62</v>
      </c>
      <c r="C96">
        <v>37</v>
      </c>
      <c r="D96" t="s">
        <v>194</v>
      </c>
      <c r="E96" t="s">
        <v>29</v>
      </c>
      <c r="F96" t="s">
        <v>38</v>
      </c>
      <c r="G96" t="s">
        <v>195</v>
      </c>
      <c r="H96" t="s">
        <v>40</v>
      </c>
      <c r="I96" t="str">
        <f>_xlfn.XLOOKUP(H96,Charge_Reference!A:A,Charge_Reference!B:B)</f>
        <v>Annual Bloodwork</v>
      </c>
      <c r="J96" s="8">
        <v>-56.112699999999997</v>
      </c>
      <c r="K96" t="s">
        <v>7</v>
      </c>
      <c r="L96" t="str">
        <f t="shared" si="1"/>
        <v>No instructions needed</v>
      </c>
    </row>
    <row r="97" spans="1:12" x14ac:dyDescent="0.3">
      <c r="A97">
        <v>96</v>
      </c>
      <c r="B97">
        <v>14</v>
      </c>
      <c r="C97">
        <v>76</v>
      </c>
      <c r="D97" t="s">
        <v>56</v>
      </c>
      <c r="E97" t="s">
        <v>41</v>
      </c>
      <c r="F97" t="s">
        <v>66</v>
      </c>
      <c r="G97" t="s">
        <v>133</v>
      </c>
      <c r="H97" t="s">
        <v>40</v>
      </c>
      <c r="I97" t="str">
        <f>_xlfn.XLOOKUP(H97,Charge_Reference!A:A,Charge_Reference!B:B)</f>
        <v>Annual Bloodwork</v>
      </c>
      <c r="J97" s="8">
        <v>299.9418</v>
      </c>
      <c r="K97" t="s">
        <v>7</v>
      </c>
      <c r="L97" t="str">
        <f t="shared" si="1"/>
        <v>No instructions needed</v>
      </c>
    </row>
    <row r="98" spans="1:12" x14ac:dyDescent="0.3">
      <c r="A98">
        <v>97</v>
      </c>
      <c r="B98">
        <v>200</v>
      </c>
      <c r="C98">
        <v>47</v>
      </c>
      <c r="D98" t="s">
        <v>99</v>
      </c>
      <c r="E98" t="s">
        <v>41</v>
      </c>
      <c r="F98" t="s">
        <v>135</v>
      </c>
      <c r="G98" t="s">
        <v>144</v>
      </c>
      <c r="H98" t="s">
        <v>47</v>
      </c>
      <c r="I98" t="str">
        <f>_xlfn.XLOOKUP(H98,Charge_Reference!A:A,Charge_Reference!B:B)</f>
        <v>Dental Cleaning</v>
      </c>
      <c r="J98" s="8">
        <v>908.0095</v>
      </c>
      <c r="K98" t="s">
        <v>5</v>
      </c>
      <c r="L98" t="str">
        <f t="shared" si="1"/>
        <v>No instructions needed</v>
      </c>
    </row>
    <row r="99" spans="1:12" x14ac:dyDescent="0.3">
      <c r="A99">
        <v>98</v>
      </c>
      <c r="B99">
        <v>24</v>
      </c>
      <c r="C99">
        <v>125</v>
      </c>
      <c r="D99" t="s">
        <v>91</v>
      </c>
      <c r="E99" t="s">
        <v>29</v>
      </c>
      <c r="F99" t="s">
        <v>66</v>
      </c>
      <c r="G99" t="s">
        <v>196</v>
      </c>
      <c r="H99" t="s">
        <v>55</v>
      </c>
      <c r="I99" t="str">
        <f>_xlfn.XLOOKUP(H99,Charge_Reference!A:A,Charge_Reference!B:B)</f>
        <v>Vaccination</v>
      </c>
      <c r="J99" s="8">
        <v>108.58969999999999</v>
      </c>
      <c r="K99" t="s">
        <v>5</v>
      </c>
      <c r="L99" t="str">
        <f t="shared" si="1"/>
        <v>No instructions needed</v>
      </c>
    </row>
    <row r="100" spans="1:12" x14ac:dyDescent="0.3">
      <c r="A100">
        <v>99</v>
      </c>
      <c r="B100">
        <v>82</v>
      </c>
      <c r="C100">
        <v>77</v>
      </c>
      <c r="D100" t="s">
        <v>197</v>
      </c>
      <c r="E100" t="s">
        <v>41</v>
      </c>
      <c r="F100" t="s">
        <v>82</v>
      </c>
      <c r="G100" t="s">
        <v>198</v>
      </c>
      <c r="H100" t="s">
        <v>47</v>
      </c>
      <c r="I100" t="str">
        <f>_xlfn.XLOOKUP(H100,Charge_Reference!A:A,Charge_Reference!B:B)</f>
        <v>Dental Cleaning</v>
      </c>
      <c r="J100" s="8">
        <v>806.5077</v>
      </c>
      <c r="K100" t="s">
        <v>5</v>
      </c>
      <c r="L100" t="str">
        <f t="shared" si="1"/>
        <v>No instructions needed</v>
      </c>
    </row>
    <row r="101" spans="1:12" x14ac:dyDescent="0.3">
      <c r="A101">
        <v>100</v>
      </c>
      <c r="B101">
        <v>52</v>
      </c>
      <c r="C101">
        <v>98</v>
      </c>
      <c r="D101" t="s">
        <v>139</v>
      </c>
      <c r="E101" t="s">
        <v>41</v>
      </c>
      <c r="F101" t="s">
        <v>85</v>
      </c>
      <c r="G101" t="s">
        <v>199</v>
      </c>
      <c r="H101" t="s">
        <v>40</v>
      </c>
      <c r="I101" t="str">
        <f>_xlfn.XLOOKUP(H101,Charge_Reference!A:A,Charge_Reference!B:B)</f>
        <v>Annual Bloodwork</v>
      </c>
      <c r="J101" s="8">
        <v>-161.25380000000001</v>
      </c>
      <c r="K101" t="s">
        <v>5</v>
      </c>
      <c r="L101" t="str">
        <f t="shared" si="1"/>
        <v>No instructions needed</v>
      </c>
    </row>
    <row r="102" spans="1:12" x14ac:dyDescent="0.3">
      <c r="A102">
        <v>101</v>
      </c>
      <c r="B102">
        <v>125</v>
      </c>
      <c r="C102">
        <v>77</v>
      </c>
      <c r="D102" t="s">
        <v>52</v>
      </c>
      <c r="E102" t="s">
        <v>29</v>
      </c>
      <c r="F102" t="s">
        <v>71</v>
      </c>
      <c r="G102" t="s">
        <v>200</v>
      </c>
      <c r="H102" t="s">
        <v>55</v>
      </c>
      <c r="I102" t="str">
        <f>_xlfn.XLOOKUP(H102,Charge_Reference!A:A,Charge_Reference!B:B)</f>
        <v>Vaccination</v>
      </c>
      <c r="J102" s="8">
        <v>112.2957</v>
      </c>
      <c r="K102" t="s">
        <v>3</v>
      </c>
      <c r="L102" t="str">
        <f t="shared" si="1"/>
        <v>No instructions needed</v>
      </c>
    </row>
    <row r="103" spans="1:12" x14ac:dyDescent="0.3">
      <c r="A103">
        <v>102</v>
      </c>
      <c r="B103">
        <v>69</v>
      </c>
      <c r="C103">
        <v>75</v>
      </c>
      <c r="D103" t="s">
        <v>115</v>
      </c>
      <c r="E103" t="s">
        <v>41</v>
      </c>
      <c r="F103" t="s">
        <v>38</v>
      </c>
      <c r="G103" t="s">
        <v>201</v>
      </c>
      <c r="H103" t="s">
        <v>64</v>
      </c>
      <c r="I103" t="str">
        <f>_xlfn.XLOOKUP(H103,Charge_Reference!A:A,Charge_Reference!B:B)</f>
        <v>Nail Trim</v>
      </c>
      <c r="J103" s="8">
        <v>857.33460000000002</v>
      </c>
      <c r="K103" t="s">
        <v>3</v>
      </c>
      <c r="L103" t="str">
        <f t="shared" si="1"/>
        <v>No instructions needed</v>
      </c>
    </row>
    <row r="104" spans="1:12" x14ac:dyDescent="0.3">
      <c r="A104">
        <v>103</v>
      </c>
      <c r="B104">
        <v>110</v>
      </c>
      <c r="C104">
        <v>37</v>
      </c>
      <c r="D104" t="s">
        <v>109</v>
      </c>
      <c r="E104" t="s">
        <v>29</v>
      </c>
      <c r="F104" t="s">
        <v>76</v>
      </c>
      <c r="G104" t="s">
        <v>202</v>
      </c>
      <c r="H104" t="s">
        <v>36</v>
      </c>
      <c r="I104" t="str">
        <f>_xlfn.XLOOKUP(H104,Charge_Reference!A:A,Charge_Reference!B:B)</f>
        <v>Emergency Visit</v>
      </c>
      <c r="J104" s="8">
        <v>295.71350000000001</v>
      </c>
      <c r="K104" t="s">
        <v>3</v>
      </c>
      <c r="L104" t="str">
        <f t="shared" si="1"/>
        <v>No instructions needed</v>
      </c>
    </row>
    <row r="105" spans="1:12" x14ac:dyDescent="0.3">
      <c r="A105">
        <v>104</v>
      </c>
      <c r="B105">
        <v>1</v>
      </c>
      <c r="C105">
        <v>1</v>
      </c>
      <c r="D105" t="s">
        <v>75</v>
      </c>
      <c r="E105" t="s">
        <v>29</v>
      </c>
      <c r="F105" t="s">
        <v>87</v>
      </c>
      <c r="G105" t="s">
        <v>203</v>
      </c>
      <c r="H105" t="s">
        <v>32</v>
      </c>
      <c r="I105" t="str">
        <f>_xlfn.XLOOKUP(H105,Charge_Reference!A:A,Charge_Reference!B:B)</f>
        <v>Surgery</v>
      </c>
      <c r="J105" s="8">
        <v>-288.42680000000001</v>
      </c>
      <c r="K105" t="s">
        <v>5</v>
      </c>
      <c r="L105" t="str">
        <f t="shared" si="1"/>
        <v>Needs TGH instructions</v>
      </c>
    </row>
    <row r="106" spans="1:12" x14ac:dyDescent="0.3">
      <c r="A106">
        <v>105</v>
      </c>
      <c r="B106">
        <v>156</v>
      </c>
      <c r="C106">
        <v>112</v>
      </c>
      <c r="D106" t="s">
        <v>154</v>
      </c>
      <c r="E106" t="s">
        <v>29</v>
      </c>
      <c r="F106" t="s">
        <v>85</v>
      </c>
      <c r="G106" t="s">
        <v>155</v>
      </c>
      <c r="H106" t="s">
        <v>64</v>
      </c>
      <c r="I106" t="str">
        <f>_xlfn.XLOOKUP(H106,Charge_Reference!A:A,Charge_Reference!B:B)</f>
        <v>Nail Trim</v>
      </c>
      <c r="J106" s="8">
        <v>425.30349999999999</v>
      </c>
      <c r="K106" t="s">
        <v>7</v>
      </c>
      <c r="L106" t="str">
        <f t="shared" si="1"/>
        <v>No instructions needed</v>
      </c>
    </row>
    <row r="107" spans="1:12" x14ac:dyDescent="0.3">
      <c r="A107">
        <v>106</v>
      </c>
      <c r="B107">
        <v>144</v>
      </c>
      <c r="C107">
        <v>131</v>
      </c>
      <c r="D107" t="s">
        <v>130</v>
      </c>
      <c r="E107" t="s">
        <v>29</v>
      </c>
      <c r="F107" t="s">
        <v>171</v>
      </c>
      <c r="G107" t="s">
        <v>204</v>
      </c>
      <c r="H107" t="s">
        <v>55</v>
      </c>
      <c r="I107" t="str">
        <f>_xlfn.XLOOKUP(H107,Charge_Reference!A:A,Charge_Reference!B:B)</f>
        <v>Vaccination</v>
      </c>
      <c r="J107" s="8">
        <v>-179.93209999999999</v>
      </c>
      <c r="K107" t="s">
        <v>7</v>
      </c>
      <c r="L107" t="str">
        <f t="shared" si="1"/>
        <v>No instructions needed</v>
      </c>
    </row>
    <row r="108" spans="1:12" x14ac:dyDescent="0.3">
      <c r="A108">
        <v>107</v>
      </c>
      <c r="B108">
        <v>46</v>
      </c>
      <c r="C108">
        <v>106</v>
      </c>
      <c r="D108" t="s">
        <v>89</v>
      </c>
      <c r="E108" t="s">
        <v>29</v>
      </c>
      <c r="F108" t="s">
        <v>97</v>
      </c>
      <c r="G108" t="s">
        <v>205</v>
      </c>
      <c r="H108" t="s">
        <v>51</v>
      </c>
      <c r="I108" t="str">
        <f>_xlfn.XLOOKUP(H108,Charge_Reference!A:A,Charge_Reference!B:B)</f>
        <v>Radiographs</v>
      </c>
      <c r="J108" s="8">
        <v>984.02539999999999</v>
      </c>
      <c r="K108" t="s">
        <v>3</v>
      </c>
      <c r="L108" t="str">
        <f t="shared" si="1"/>
        <v>No instructions needed</v>
      </c>
    </row>
    <row r="109" spans="1:12" x14ac:dyDescent="0.3">
      <c r="A109">
        <v>108</v>
      </c>
      <c r="B109">
        <v>32</v>
      </c>
      <c r="C109">
        <v>6</v>
      </c>
      <c r="D109" t="s">
        <v>188</v>
      </c>
      <c r="E109" t="s">
        <v>29</v>
      </c>
      <c r="F109" t="s">
        <v>49</v>
      </c>
      <c r="G109" t="s">
        <v>165</v>
      </c>
      <c r="H109" t="s">
        <v>32</v>
      </c>
      <c r="I109" t="str">
        <f>_xlfn.XLOOKUP(H109,Charge_Reference!A:A,Charge_Reference!B:B)</f>
        <v>Surgery</v>
      </c>
      <c r="J109" s="8">
        <v>516.75130000000001</v>
      </c>
      <c r="K109" t="s">
        <v>7</v>
      </c>
      <c r="L109" t="str">
        <f t="shared" si="1"/>
        <v>Needs TGH instructions</v>
      </c>
    </row>
    <row r="110" spans="1:12" x14ac:dyDescent="0.3">
      <c r="A110">
        <v>109</v>
      </c>
      <c r="B110">
        <v>80</v>
      </c>
      <c r="C110">
        <v>116</v>
      </c>
      <c r="D110" t="s">
        <v>183</v>
      </c>
      <c r="E110" t="s">
        <v>41</v>
      </c>
      <c r="F110" t="s">
        <v>45</v>
      </c>
      <c r="G110" t="s">
        <v>206</v>
      </c>
      <c r="H110" t="s">
        <v>64</v>
      </c>
      <c r="I110" t="str">
        <f>_xlfn.XLOOKUP(H110,Charge_Reference!A:A,Charge_Reference!B:B)</f>
        <v>Nail Trim</v>
      </c>
      <c r="J110" s="8">
        <v>242.7064</v>
      </c>
      <c r="K110" t="s">
        <v>3</v>
      </c>
      <c r="L110" t="str">
        <f t="shared" si="1"/>
        <v>No instructions needed</v>
      </c>
    </row>
    <row r="111" spans="1:12" x14ac:dyDescent="0.3">
      <c r="A111">
        <v>110</v>
      </c>
      <c r="B111">
        <v>141</v>
      </c>
      <c r="C111">
        <v>108</v>
      </c>
      <c r="D111" t="s">
        <v>197</v>
      </c>
      <c r="E111" t="s">
        <v>41</v>
      </c>
      <c r="F111" t="s">
        <v>30</v>
      </c>
      <c r="G111" t="s">
        <v>207</v>
      </c>
      <c r="H111" t="s">
        <v>64</v>
      </c>
      <c r="I111" t="str">
        <f>_xlfn.XLOOKUP(H111,Charge_Reference!A:A,Charge_Reference!B:B)</f>
        <v>Nail Trim</v>
      </c>
      <c r="J111" s="8">
        <v>438.31729999999999</v>
      </c>
      <c r="K111" t="s">
        <v>5</v>
      </c>
      <c r="L111" t="str">
        <f t="shared" si="1"/>
        <v>No instructions needed</v>
      </c>
    </row>
    <row r="112" spans="1:12" x14ac:dyDescent="0.3">
      <c r="A112">
        <v>111</v>
      </c>
      <c r="B112">
        <v>97</v>
      </c>
      <c r="C112">
        <v>72</v>
      </c>
      <c r="D112" t="s">
        <v>176</v>
      </c>
      <c r="E112" t="s">
        <v>41</v>
      </c>
      <c r="F112" t="s">
        <v>34</v>
      </c>
      <c r="G112" t="s">
        <v>208</v>
      </c>
      <c r="H112" t="s">
        <v>55</v>
      </c>
      <c r="I112" t="str">
        <f>_xlfn.XLOOKUP(H112,Charge_Reference!A:A,Charge_Reference!B:B)</f>
        <v>Vaccination</v>
      </c>
      <c r="J112" s="8">
        <v>119.9024</v>
      </c>
      <c r="K112" t="s">
        <v>3</v>
      </c>
      <c r="L112" t="str">
        <f t="shared" si="1"/>
        <v>No instructions needed</v>
      </c>
    </row>
    <row r="113" spans="1:12" x14ac:dyDescent="0.3">
      <c r="A113">
        <v>112</v>
      </c>
      <c r="B113">
        <v>110</v>
      </c>
      <c r="C113">
        <v>21</v>
      </c>
      <c r="D113" t="s">
        <v>139</v>
      </c>
      <c r="E113" t="s">
        <v>41</v>
      </c>
      <c r="F113" t="s">
        <v>57</v>
      </c>
      <c r="G113" t="s">
        <v>209</v>
      </c>
      <c r="H113" t="s">
        <v>40</v>
      </c>
      <c r="I113" t="str">
        <f>_xlfn.XLOOKUP(H113,Charge_Reference!A:A,Charge_Reference!B:B)</f>
        <v>Annual Bloodwork</v>
      </c>
      <c r="J113" s="8">
        <v>398.31779999999998</v>
      </c>
      <c r="K113" t="s">
        <v>7</v>
      </c>
      <c r="L113" t="str">
        <f t="shared" si="1"/>
        <v>No instructions needed</v>
      </c>
    </row>
    <row r="114" spans="1:12" x14ac:dyDescent="0.3">
      <c r="A114">
        <v>113</v>
      </c>
      <c r="B114">
        <v>25</v>
      </c>
      <c r="C114">
        <v>73</v>
      </c>
      <c r="D114" t="s">
        <v>154</v>
      </c>
      <c r="E114" t="s">
        <v>29</v>
      </c>
      <c r="F114" t="s">
        <v>66</v>
      </c>
      <c r="G114" t="s">
        <v>210</v>
      </c>
      <c r="H114" t="s">
        <v>47</v>
      </c>
      <c r="I114" t="str">
        <f>_xlfn.XLOOKUP(H114,Charge_Reference!A:A,Charge_Reference!B:B)</f>
        <v>Dental Cleaning</v>
      </c>
      <c r="J114" s="8">
        <v>837.64729999999997</v>
      </c>
      <c r="K114" t="s">
        <v>7</v>
      </c>
      <c r="L114" t="str">
        <f t="shared" si="1"/>
        <v>No instructions needed</v>
      </c>
    </row>
    <row r="115" spans="1:12" x14ac:dyDescent="0.3">
      <c r="A115">
        <v>114</v>
      </c>
      <c r="B115">
        <v>72</v>
      </c>
      <c r="C115">
        <v>63</v>
      </c>
      <c r="D115" t="s">
        <v>211</v>
      </c>
      <c r="E115" t="s">
        <v>29</v>
      </c>
      <c r="F115" t="s">
        <v>131</v>
      </c>
      <c r="G115" t="s">
        <v>212</v>
      </c>
      <c r="H115" t="s">
        <v>36</v>
      </c>
      <c r="I115" t="str">
        <f>_xlfn.XLOOKUP(H115,Charge_Reference!A:A,Charge_Reference!B:B)</f>
        <v>Emergency Visit</v>
      </c>
      <c r="J115" s="8">
        <v>422.6103</v>
      </c>
      <c r="K115" t="s">
        <v>5</v>
      </c>
      <c r="L115" t="str">
        <f t="shared" si="1"/>
        <v>No instructions needed</v>
      </c>
    </row>
    <row r="116" spans="1:12" x14ac:dyDescent="0.3">
      <c r="A116">
        <v>115</v>
      </c>
      <c r="B116">
        <v>55</v>
      </c>
      <c r="C116">
        <v>21</v>
      </c>
      <c r="D116" t="s">
        <v>48</v>
      </c>
      <c r="E116" t="s">
        <v>41</v>
      </c>
      <c r="F116" t="s">
        <v>57</v>
      </c>
      <c r="G116" t="s">
        <v>213</v>
      </c>
      <c r="H116" t="s">
        <v>55</v>
      </c>
      <c r="I116" t="str">
        <f>_xlfn.XLOOKUP(H116,Charge_Reference!A:A,Charge_Reference!B:B)</f>
        <v>Vaccination</v>
      </c>
      <c r="J116" s="8">
        <v>717.8039</v>
      </c>
      <c r="K116" t="s">
        <v>5</v>
      </c>
      <c r="L116" t="str">
        <f t="shared" si="1"/>
        <v>No instructions needed</v>
      </c>
    </row>
    <row r="117" spans="1:12" x14ac:dyDescent="0.3">
      <c r="A117">
        <v>116</v>
      </c>
      <c r="B117">
        <v>85</v>
      </c>
      <c r="C117">
        <v>131</v>
      </c>
      <c r="D117" t="s">
        <v>214</v>
      </c>
      <c r="E117" t="s">
        <v>29</v>
      </c>
      <c r="F117" t="s">
        <v>116</v>
      </c>
      <c r="G117" t="s">
        <v>215</v>
      </c>
      <c r="H117" t="s">
        <v>55</v>
      </c>
      <c r="I117" t="str">
        <f>_xlfn.XLOOKUP(H117,Charge_Reference!A:A,Charge_Reference!B:B)</f>
        <v>Vaccination</v>
      </c>
      <c r="J117" s="8">
        <v>804.76369999999997</v>
      </c>
      <c r="K117" t="s">
        <v>5</v>
      </c>
      <c r="L117" t="str">
        <f t="shared" si="1"/>
        <v>No instructions needed</v>
      </c>
    </row>
    <row r="118" spans="1:12" x14ac:dyDescent="0.3">
      <c r="A118">
        <v>117</v>
      </c>
      <c r="B118">
        <v>102</v>
      </c>
      <c r="C118">
        <v>101</v>
      </c>
      <c r="D118" t="s">
        <v>37</v>
      </c>
      <c r="E118" t="s">
        <v>41</v>
      </c>
      <c r="F118" t="s">
        <v>97</v>
      </c>
      <c r="G118" t="s">
        <v>216</v>
      </c>
      <c r="H118" t="s">
        <v>59</v>
      </c>
      <c r="I118" t="str">
        <f>_xlfn.XLOOKUP(H118,Charge_Reference!A:A,Charge_Reference!B:B)</f>
        <v>Office Visit</v>
      </c>
      <c r="J118" s="8">
        <v>831.80560000000003</v>
      </c>
      <c r="K118" t="s">
        <v>3</v>
      </c>
      <c r="L118" t="str">
        <f t="shared" si="1"/>
        <v>No instructions needed</v>
      </c>
    </row>
    <row r="119" spans="1:12" x14ac:dyDescent="0.3">
      <c r="A119">
        <v>118</v>
      </c>
      <c r="B119">
        <v>104</v>
      </c>
      <c r="C119">
        <v>101</v>
      </c>
      <c r="D119" t="s">
        <v>142</v>
      </c>
      <c r="E119" t="s">
        <v>41</v>
      </c>
      <c r="F119" t="s">
        <v>76</v>
      </c>
      <c r="G119" t="s">
        <v>74</v>
      </c>
      <c r="H119" t="s">
        <v>64</v>
      </c>
      <c r="I119" t="str">
        <f>_xlfn.XLOOKUP(H119,Charge_Reference!A:A,Charge_Reference!B:B)</f>
        <v>Nail Trim</v>
      </c>
      <c r="J119" s="8">
        <v>456.93849999999998</v>
      </c>
      <c r="K119" t="s">
        <v>5</v>
      </c>
      <c r="L119" t="str">
        <f t="shared" si="1"/>
        <v>No instructions needed</v>
      </c>
    </row>
    <row r="120" spans="1:12" x14ac:dyDescent="0.3">
      <c r="A120">
        <v>119</v>
      </c>
      <c r="B120">
        <v>3</v>
      </c>
      <c r="C120">
        <v>112</v>
      </c>
      <c r="D120" t="s">
        <v>217</v>
      </c>
      <c r="E120" t="s">
        <v>41</v>
      </c>
      <c r="F120" t="s">
        <v>131</v>
      </c>
      <c r="G120" t="s">
        <v>218</v>
      </c>
      <c r="H120" t="s">
        <v>59</v>
      </c>
      <c r="I120" t="str">
        <f>_xlfn.XLOOKUP(H120,Charge_Reference!A:A,Charge_Reference!B:B)</f>
        <v>Office Visit</v>
      </c>
      <c r="J120" s="8">
        <v>-145.4691</v>
      </c>
      <c r="K120" t="s">
        <v>3</v>
      </c>
      <c r="L120" t="str">
        <f t="shared" si="1"/>
        <v>No instructions needed</v>
      </c>
    </row>
    <row r="121" spans="1:12" x14ac:dyDescent="0.3">
      <c r="A121">
        <v>120</v>
      </c>
      <c r="B121">
        <v>136</v>
      </c>
      <c r="C121">
        <v>11</v>
      </c>
      <c r="D121" t="s">
        <v>149</v>
      </c>
      <c r="E121" t="s">
        <v>29</v>
      </c>
      <c r="F121" t="s">
        <v>87</v>
      </c>
      <c r="G121" t="s">
        <v>219</v>
      </c>
      <c r="H121" t="s">
        <v>64</v>
      </c>
      <c r="I121" t="str">
        <f>_xlfn.XLOOKUP(H121,Charge_Reference!A:A,Charge_Reference!B:B)</f>
        <v>Nail Trim</v>
      </c>
      <c r="J121" s="8">
        <v>996.18060000000003</v>
      </c>
      <c r="K121" t="s">
        <v>5</v>
      </c>
      <c r="L121" t="str">
        <f t="shared" si="1"/>
        <v>No instructions needed</v>
      </c>
    </row>
    <row r="122" spans="1:12" x14ac:dyDescent="0.3">
      <c r="A122">
        <v>121</v>
      </c>
      <c r="B122">
        <v>63</v>
      </c>
      <c r="C122">
        <v>145</v>
      </c>
      <c r="D122" t="s">
        <v>220</v>
      </c>
      <c r="E122" t="s">
        <v>29</v>
      </c>
      <c r="F122" t="s">
        <v>38</v>
      </c>
      <c r="G122" t="s">
        <v>221</v>
      </c>
      <c r="H122" t="s">
        <v>51</v>
      </c>
      <c r="I122" t="str">
        <f>_xlfn.XLOOKUP(H122,Charge_Reference!A:A,Charge_Reference!B:B)</f>
        <v>Radiographs</v>
      </c>
      <c r="J122" s="8">
        <v>591.20360000000005</v>
      </c>
      <c r="K122" t="s">
        <v>5</v>
      </c>
      <c r="L122" t="str">
        <f t="shared" si="1"/>
        <v>No instructions needed</v>
      </c>
    </row>
    <row r="123" spans="1:12" x14ac:dyDescent="0.3">
      <c r="A123">
        <v>122</v>
      </c>
      <c r="B123">
        <v>119</v>
      </c>
      <c r="C123">
        <v>45</v>
      </c>
      <c r="D123" t="s">
        <v>128</v>
      </c>
      <c r="E123" t="s">
        <v>41</v>
      </c>
      <c r="F123" t="s">
        <v>30</v>
      </c>
      <c r="G123" t="s">
        <v>173</v>
      </c>
      <c r="H123" t="s">
        <v>40</v>
      </c>
      <c r="I123" t="str">
        <f>_xlfn.XLOOKUP(H123,Charge_Reference!A:A,Charge_Reference!B:B)</f>
        <v>Annual Bloodwork</v>
      </c>
      <c r="J123" s="8">
        <v>-269.2534</v>
      </c>
      <c r="K123" t="s">
        <v>3</v>
      </c>
      <c r="L123" t="str">
        <f t="shared" si="1"/>
        <v>No instructions needed</v>
      </c>
    </row>
    <row r="124" spans="1:12" x14ac:dyDescent="0.3">
      <c r="A124">
        <v>123</v>
      </c>
      <c r="B124">
        <v>21</v>
      </c>
      <c r="C124">
        <v>94</v>
      </c>
      <c r="D124" t="s">
        <v>81</v>
      </c>
      <c r="E124" t="s">
        <v>41</v>
      </c>
      <c r="F124" t="s">
        <v>102</v>
      </c>
      <c r="G124" t="s">
        <v>153</v>
      </c>
      <c r="H124" t="s">
        <v>51</v>
      </c>
      <c r="I124" t="str">
        <f>_xlfn.XLOOKUP(H124,Charge_Reference!A:A,Charge_Reference!B:B)</f>
        <v>Radiographs</v>
      </c>
      <c r="J124" s="8">
        <v>344.29219999999998</v>
      </c>
      <c r="K124" t="s">
        <v>3</v>
      </c>
      <c r="L124" t="str">
        <f t="shared" si="1"/>
        <v>No instructions needed</v>
      </c>
    </row>
    <row r="125" spans="1:12" x14ac:dyDescent="0.3">
      <c r="A125">
        <v>124</v>
      </c>
      <c r="B125">
        <v>114</v>
      </c>
      <c r="C125">
        <v>119</v>
      </c>
      <c r="D125" t="s">
        <v>179</v>
      </c>
      <c r="E125" t="s">
        <v>29</v>
      </c>
      <c r="F125" t="s">
        <v>102</v>
      </c>
      <c r="G125" t="s">
        <v>222</v>
      </c>
      <c r="H125" t="s">
        <v>36</v>
      </c>
      <c r="I125" t="str">
        <f>_xlfn.XLOOKUP(H125,Charge_Reference!A:A,Charge_Reference!B:B)</f>
        <v>Emergency Visit</v>
      </c>
      <c r="J125" s="8">
        <v>307.71289999999999</v>
      </c>
      <c r="K125" t="s">
        <v>5</v>
      </c>
      <c r="L125" t="str">
        <f t="shared" si="1"/>
        <v>No instructions needed</v>
      </c>
    </row>
    <row r="126" spans="1:12" x14ac:dyDescent="0.3">
      <c r="A126">
        <v>125</v>
      </c>
      <c r="B126">
        <v>47</v>
      </c>
      <c r="C126">
        <v>125</v>
      </c>
      <c r="D126" t="s">
        <v>101</v>
      </c>
      <c r="E126" t="s">
        <v>41</v>
      </c>
      <c r="F126" t="s">
        <v>107</v>
      </c>
      <c r="G126" t="s">
        <v>223</v>
      </c>
      <c r="H126" t="s">
        <v>36</v>
      </c>
      <c r="I126" t="str">
        <f>_xlfn.XLOOKUP(H126,Charge_Reference!A:A,Charge_Reference!B:B)</f>
        <v>Emergency Visit</v>
      </c>
      <c r="J126" s="8">
        <v>-25.637499999999999</v>
      </c>
      <c r="K126" t="s">
        <v>3</v>
      </c>
      <c r="L126" t="str">
        <f t="shared" si="1"/>
        <v>No instructions needed</v>
      </c>
    </row>
    <row r="127" spans="1:12" x14ac:dyDescent="0.3">
      <c r="A127">
        <v>126</v>
      </c>
      <c r="B127">
        <v>67</v>
      </c>
      <c r="C127">
        <v>146</v>
      </c>
      <c r="D127" t="s">
        <v>70</v>
      </c>
      <c r="E127" t="s">
        <v>41</v>
      </c>
      <c r="F127" t="s">
        <v>171</v>
      </c>
      <c r="G127" t="s">
        <v>224</v>
      </c>
      <c r="H127" t="s">
        <v>32</v>
      </c>
      <c r="I127" t="str">
        <f>_xlfn.XLOOKUP(H127,Charge_Reference!A:A,Charge_Reference!B:B)</f>
        <v>Surgery</v>
      </c>
      <c r="J127" s="8">
        <v>-142.05969999999999</v>
      </c>
      <c r="K127" t="s">
        <v>5</v>
      </c>
      <c r="L127" t="str">
        <f t="shared" si="1"/>
        <v>Needs TGH instructions</v>
      </c>
    </row>
    <row r="128" spans="1:12" x14ac:dyDescent="0.3">
      <c r="A128">
        <v>127</v>
      </c>
      <c r="B128">
        <v>58</v>
      </c>
      <c r="C128">
        <v>98</v>
      </c>
      <c r="D128" t="s">
        <v>68</v>
      </c>
      <c r="E128" t="s">
        <v>29</v>
      </c>
      <c r="F128" t="s">
        <v>160</v>
      </c>
      <c r="G128" t="s">
        <v>225</v>
      </c>
      <c r="H128" t="s">
        <v>59</v>
      </c>
      <c r="I128" t="str">
        <f>_xlfn.XLOOKUP(H128,Charge_Reference!A:A,Charge_Reference!B:B)</f>
        <v>Office Visit</v>
      </c>
      <c r="J128" s="8">
        <v>927.40139999999997</v>
      </c>
      <c r="K128" t="s">
        <v>5</v>
      </c>
      <c r="L128" t="str">
        <f t="shared" si="1"/>
        <v>No instructions needed</v>
      </c>
    </row>
    <row r="129" spans="1:12" x14ac:dyDescent="0.3">
      <c r="A129">
        <v>128</v>
      </c>
      <c r="B129">
        <v>58</v>
      </c>
      <c r="C129">
        <v>44</v>
      </c>
      <c r="D129" t="s">
        <v>84</v>
      </c>
      <c r="E129" t="s">
        <v>29</v>
      </c>
      <c r="F129" t="s">
        <v>61</v>
      </c>
      <c r="G129" t="s">
        <v>226</v>
      </c>
      <c r="H129" t="s">
        <v>64</v>
      </c>
      <c r="I129" t="str">
        <f>_xlfn.XLOOKUP(H129,Charge_Reference!A:A,Charge_Reference!B:B)</f>
        <v>Nail Trim</v>
      </c>
      <c r="J129" s="8">
        <v>-55.932299999999998</v>
      </c>
      <c r="K129" t="s">
        <v>5</v>
      </c>
      <c r="L129" t="str">
        <f t="shared" si="1"/>
        <v>No instructions needed</v>
      </c>
    </row>
    <row r="130" spans="1:12" x14ac:dyDescent="0.3">
      <c r="A130">
        <v>129</v>
      </c>
      <c r="B130">
        <v>180</v>
      </c>
      <c r="C130">
        <v>118</v>
      </c>
      <c r="D130" t="s">
        <v>89</v>
      </c>
      <c r="E130" t="s">
        <v>41</v>
      </c>
      <c r="F130" t="s">
        <v>34</v>
      </c>
      <c r="G130" t="s">
        <v>227</v>
      </c>
      <c r="H130" t="s">
        <v>32</v>
      </c>
      <c r="I130" t="str">
        <f>_xlfn.XLOOKUP(H130,Charge_Reference!A:A,Charge_Reference!B:B)</f>
        <v>Surgery</v>
      </c>
      <c r="J130" s="8">
        <v>295.8938</v>
      </c>
      <c r="K130" t="s">
        <v>7</v>
      </c>
      <c r="L130" t="str">
        <f t="shared" si="1"/>
        <v>Needs TGH instructions</v>
      </c>
    </row>
    <row r="131" spans="1:12" x14ac:dyDescent="0.3">
      <c r="A131">
        <v>130</v>
      </c>
      <c r="B131">
        <v>157</v>
      </c>
      <c r="C131">
        <v>148</v>
      </c>
      <c r="D131" t="s">
        <v>33</v>
      </c>
      <c r="E131" t="s">
        <v>29</v>
      </c>
      <c r="F131" t="s">
        <v>111</v>
      </c>
      <c r="G131" t="s">
        <v>170</v>
      </c>
      <c r="H131" t="s">
        <v>51</v>
      </c>
      <c r="I131" t="str">
        <f>_xlfn.XLOOKUP(H131,Charge_Reference!A:A,Charge_Reference!B:B)</f>
        <v>Radiographs</v>
      </c>
      <c r="J131" s="8">
        <v>980.2133</v>
      </c>
      <c r="K131" t="s">
        <v>5</v>
      </c>
      <c r="L131" t="str">
        <f t="shared" ref="L131:L194" si="2">IF(I131 = "Surgery", "Needs TGH instructions", "No instructions needed")</f>
        <v>No instructions needed</v>
      </c>
    </row>
    <row r="132" spans="1:12" x14ac:dyDescent="0.3">
      <c r="A132">
        <v>131</v>
      </c>
      <c r="B132">
        <v>159</v>
      </c>
      <c r="C132">
        <v>56</v>
      </c>
      <c r="D132" t="s">
        <v>109</v>
      </c>
      <c r="E132" t="s">
        <v>41</v>
      </c>
      <c r="F132" t="s">
        <v>145</v>
      </c>
      <c r="G132" t="s">
        <v>209</v>
      </c>
      <c r="H132" t="s">
        <v>47</v>
      </c>
      <c r="I132" t="str">
        <f>_xlfn.XLOOKUP(H132,Charge_Reference!A:A,Charge_Reference!B:B)</f>
        <v>Dental Cleaning</v>
      </c>
      <c r="J132" s="8">
        <v>178.17679999999999</v>
      </c>
      <c r="K132" t="s">
        <v>3</v>
      </c>
      <c r="L132" t="str">
        <f t="shared" si="2"/>
        <v>No instructions needed</v>
      </c>
    </row>
    <row r="133" spans="1:12" x14ac:dyDescent="0.3">
      <c r="A133">
        <v>132</v>
      </c>
      <c r="B133">
        <v>110</v>
      </c>
      <c r="C133">
        <v>11</v>
      </c>
      <c r="D133" t="s">
        <v>109</v>
      </c>
      <c r="E133" t="s">
        <v>29</v>
      </c>
      <c r="F133" t="s">
        <v>61</v>
      </c>
      <c r="G133" t="s">
        <v>228</v>
      </c>
      <c r="H133" t="s">
        <v>40</v>
      </c>
      <c r="I133" t="str">
        <f>_xlfn.XLOOKUP(H133,Charge_Reference!A:A,Charge_Reference!B:B)</f>
        <v>Annual Bloodwork</v>
      </c>
      <c r="J133" s="8">
        <v>342.37950000000001</v>
      </c>
      <c r="K133" t="s">
        <v>7</v>
      </c>
      <c r="L133" t="str">
        <f t="shared" si="2"/>
        <v>No instructions needed</v>
      </c>
    </row>
    <row r="134" spans="1:12" x14ac:dyDescent="0.3">
      <c r="A134">
        <v>133</v>
      </c>
      <c r="B134">
        <v>171</v>
      </c>
      <c r="C134">
        <v>17</v>
      </c>
      <c r="D134" t="s">
        <v>194</v>
      </c>
      <c r="E134" t="s">
        <v>41</v>
      </c>
      <c r="F134" t="s">
        <v>53</v>
      </c>
      <c r="G134" t="s">
        <v>138</v>
      </c>
      <c r="H134" t="s">
        <v>32</v>
      </c>
      <c r="I134" t="str">
        <f>_xlfn.XLOOKUP(H134,Charge_Reference!A:A,Charge_Reference!B:B)</f>
        <v>Surgery</v>
      </c>
      <c r="J134" s="8">
        <v>800.8288</v>
      </c>
      <c r="K134" t="s">
        <v>5</v>
      </c>
      <c r="L134" t="str">
        <f t="shared" si="2"/>
        <v>Needs TGH instructions</v>
      </c>
    </row>
    <row r="135" spans="1:12" x14ac:dyDescent="0.3">
      <c r="A135">
        <v>134</v>
      </c>
      <c r="B135">
        <v>20</v>
      </c>
      <c r="C135">
        <v>59</v>
      </c>
      <c r="D135" t="s">
        <v>44</v>
      </c>
      <c r="E135" t="s">
        <v>29</v>
      </c>
      <c r="F135" t="s">
        <v>145</v>
      </c>
      <c r="G135" t="s">
        <v>229</v>
      </c>
      <c r="H135" t="s">
        <v>36</v>
      </c>
      <c r="I135" t="str">
        <f>_xlfn.XLOOKUP(H135,Charge_Reference!A:A,Charge_Reference!B:B)</f>
        <v>Emergency Visit</v>
      </c>
      <c r="J135" s="8">
        <v>149.8827</v>
      </c>
      <c r="K135" t="s">
        <v>7</v>
      </c>
      <c r="L135" t="str">
        <f t="shared" si="2"/>
        <v>No instructions needed</v>
      </c>
    </row>
    <row r="136" spans="1:12" x14ac:dyDescent="0.3">
      <c r="A136">
        <v>135</v>
      </c>
      <c r="B136">
        <v>99</v>
      </c>
      <c r="C136">
        <v>26</v>
      </c>
      <c r="D136" t="s">
        <v>230</v>
      </c>
      <c r="E136" t="s">
        <v>29</v>
      </c>
      <c r="F136" t="s">
        <v>82</v>
      </c>
      <c r="G136" t="s">
        <v>216</v>
      </c>
      <c r="H136" t="s">
        <v>64</v>
      </c>
      <c r="I136" t="str">
        <f>_xlfn.XLOOKUP(H136,Charge_Reference!A:A,Charge_Reference!B:B)</f>
        <v>Nail Trim</v>
      </c>
      <c r="J136" s="8">
        <v>-195.74870000000001</v>
      </c>
      <c r="K136" t="s">
        <v>5</v>
      </c>
      <c r="L136" t="str">
        <f t="shared" si="2"/>
        <v>No instructions needed</v>
      </c>
    </row>
    <row r="137" spans="1:12" x14ac:dyDescent="0.3">
      <c r="A137">
        <v>136</v>
      </c>
      <c r="B137">
        <v>185</v>
      </c>
      <c r="C137">
        <v>22</v>
      </c>
      <c r="D137" t="s">
        <v>101</v>
      </c>
      <c r="E137" t="s">
        <v>41</v>
      </c>
      <c r="F137" t="s">
        <v>85</v>
      </c>
      <c r="G137" t="s">
        <v>146</v>
      </c>
      <c r="H137" t="s">
        <v>64</v>
      </c>
      <c r="I137" t="str">
        <f>_xlfn.XLOOKUP(H137,Charge_Reference!A:A,Charge_Reference!B:B)</f>
        <v>Nail Trim</v>
      </c>
      <c r="J137" s="8">
        <v>7.9272999999999998</v>
      </c>
      <c r="K137" t="s">
        <v>3</v>
      </c>
      <c r="L137" t="str">
        <f t="shared" si="2"/>
        <v>No instructions needed</v>
      </c>
    </row>
    <row r="138" spans="1:12" x14ac:dyDescent="0.3">
      <c r="A138">
        <v>137</v>
      </c>
      <c r="B138">
        <v>51</v>
      </c>
      <c r="C138">
        <v>133</v>
      </c>
      <c r="D138" t="s">
        <v>115</v>
      </c>
      <c r="E138" t="s">
        <v>41</v>
      </c>
      <c r="F138" t="s">
        <v>38</v>
      </c>
      <c r="G138" t="s">
        <v>231</v>
      </c>
      <c r="H138" t="s">
        <v>59</v>
      </c>
      <c r="I138" t="str">
        <f>_xlfn.XLOOKUP(H138,Charge_Reference!A:A,Charge_Reference!B:B)</f>
        <v>Office Visit</v>
      </c>
      <c r="J138" s="8">
        <v>438.78190000000001</v>
      </c>
      <c r="K138" t="s">
        <v>7</v>
      </c>
      <c r="L138" t="str">
        <f t="shared" si="2"/>
        <v>No instructions needed</v>
      </c>
    </row>
    <row r="139" spans="1:12" x14ac:dyDescent="0.3">
      <c r="A139">
        <v>138</v>
      </c>
      <c r="B139">
        <v>50</v>
      </c>
      <c r="C139">
        <v>140</v>
      </c>
      <c r="D139" t="s">
        <v>158</v>
      </c>
      <c r="E139" t="s">
        <v>29</v>
      </c>
      <c r="F139" t="s">
        <v>45</v>
      </c>
      <c r="G139" t="s">
        <v>232</v>
      </c>
      <c r="H139" t="s">
        <v>64</v>
      </c>
      <c r="I139" t="str">
        <f>_xlfn.XLOOKUP(H139,Charge_Reference!A:A,Charge_Reference!B:B)</f>
        <v>Nail Trim</v>
      </c>
      <c r="J139" s="8">
        <v>316.45010000000002</v>
      </c>
      <c r="K139" t="s">
        <v>3</v>
      </c>
      <c r="L139" t="str">
        <f t="shared" si="2"/>
        <v>No instructions needed</v>
      </c>
    </row>
    <row r="140" spans="1:12" x14ac:dyDescent="0.3">
      <c r="A140">
        <v>139</v>
      </c>
      <c r="B140">
        <v>113</v>
      </c>
      <c r="C140">
        <v>50</v>
      </c>
      <c r="D140" t="s">
        <v>197</v>
      </c>
      <c r="E140" t="s">
        <v>29</v>
      </c>
      <c r="F140" t="s">
        <v>87</v>
      </c>
      <c r="G140" t="s">
        <v>141</v>
      </c>
      <c r="H140" t="s">
        <v>47</v>
      </c>
      <c r="I140" t="str">
        <f>_xlfn.XLOOKUP(H140,Charge_Reference!A:A,Charge_Reference!B:B)</f>
        <v>Dental Cleaning</v>
      </c>
      <c r="J140" s="8">
        <v>350.8954</v>
      </c>
      <c r="K140" t="s">
        <v>5</v>
      </c>
      <c r="L140" t="str">
        <f t="shared" si="2"/>
        <v>No instructions needed</v>
      </c>
    </row>
    <row r="141" spans="1:12" x14ac:dyDescent="0.3">
      <c r="A141">
        <v>140</v>
      </c>
      <c r="B141">
        <v>118</v>
      </c>
      <c r="C141">
        <v>32</v>
      </c>
      <c r="D141" t="s">
        <v>211</v>
      </c>
      <c r="E141" t="s">
        <v>41</v>
      </c>
      <c r="F141" t="s">
        <v>73</v>
      </c>
      <c r="G141" t="s">
        <v>196</v>
      </c>
      <c r="H141" t="s">
        <v>32</v>
      </c>
      <c r="I141" t="str">
        <f>_xlfn.XLOOKUP(H141,Charge_Reference!A:A,Charge_Reference!B:B)</f>
        <v>Surgery</v>
      </c>
      <c r="J141" s="8">
        <v>828.02179999999998</v>
      </c>
      <c r="K141" t="s">
        <v>3</v>
      </c>
      <c r="L141" t="str">
        <f t="shared" si="2"/>
        <v>Needs TGH instructions</v>
      </c>
    </row>
    <row r="142" spans="1:12" x14ac:dyDescent="0.3">
      <c r="A142">
        <v>141</v>
      </c>
      <c r="B142">
        <v>92</v>
      </c>
      <c r="C142">
        <v>1</v>
      </c>
      <c r="D142" t="s">
        <v>162</v>
      </c>
      <c r="E142" t="s">
        <v>29</v>
      </c>
      <c r="F142" t="s">
        <v>94</v>
      </c>
      <c r="G142" t="s">
        <v>39</v>
      </c>
      <c r="H142" t="s">
        <v>40</v>
      </c>
      <c r="I142" t="str">
        <f>_xlfn.XLOOKUP(H142,Charge_Reference!A:A,Charge_Reference!B:B)</f>
        <v>Annual Bloodwork</v>
      </c>
      <c r="J142" s="8">
        <v>217.81880000000001</v>
      </c>
      <c r="K142" t="s">
        <v>5</v>
      </c>
      <c r="L142" t="str">
        <f t="shared" si="2"/>
        <v>No instructions needed</v>
      </c>
    </row>
    <row r="143" spans="1:12" x14ac:dyDescent="0.3">
      <c r="A143">
        <v>142</v>
      </c>
      <c r="B143">
        <v>77</v>
      </c>
      <c r="C143">
        <v>122</v>
      </c>
      <c r="D143" t="s">
        <v>60</v>
      </c>
      <c r="E143" t="s">
        <v>29</v>
      </c>
      <c r="F143" t="s">
        <v>76</v>
      </c>
      <c r="G143" t="s">
        <v>233</v>
      </c>
      <c r="H143" t="s">
        <v>36</v>
      </c>
      <c r="I143" t="str">
        <f>_xlfn.XLOOKUP(H143,Charge_Reference!A:A,Charge_Reference!B:B)</f>
        <v>Emergency Visit</v>
      </c>
      <c r="J143" s="8">
        <v>551.09540000000004</v>
      </c>
      <c r="K143" t="s">
        <v>3</v>
      </c>
      <c r="L143" t="str">
        <f t="shared" si="2"/>
        <v>No instructions needed</v>
      </c>
    </row>
    <row r="144" spans="1:12" x14ac:dyDescent="0.3">
      <c r="A144">
        <v>143</v>
      </c>
      <c r="B144">
        <v>47</v>
      </c>
      <c r="C144">
        <v>17</v>
      </c>
      <c r="D144" t="s">
        <v>147</v>
      </c>
      <c r="E144" t="s">
        <v>29</v>
      </c>
      <c r="F144" t="s">
        <v>42</v>
      </c>
      <c r="G144" t="s">
        <v>234</v>
      </c>
      <c r="H144" t="s">
        <v>40</v>
      </c>
      <c r="I144" t="str">
        <f>_xlfn.XLOOKUP(H144,Charge_Reference!A:A,Charge_Reference!B:B)</f>
        <v>Annual Bloodwork</v>
      </c>
      <c r="J144" s="8">
        <v>-41.724899999999998</v>
      </c>
      <c r="K144" t="s">
        <v>5</v>
      </c>
      <c r="L144" t="str">
        <f t="shared" si="2"/>
        <v>No instructions needed</v>
      </c>
    </row>
    <row r="145" spans="1:12" x14ac:dyDescent="0.3">
      <c r="A145">
        <v>144</v>
      </c>
      <c r="B145">
        <v>174</v>
      </c>
      <c r="C145">
        <v>33</v>
      </c>
      <c r="D145" t="s">
        <v>183</v>
      </c>
      <c r="E145" t="s">
        <v>41</v>
      </c>
      <c r="F145" t="s">
        <v>151</v>
      </c>
      <c r="G145" t="s">
        <v>235</v>
      </c>
      <c r="H145" t="s">
        <v>51</v>
      </c>
      <c r="I145" t="str">
        <f>_xlfn.XLOOKUP(H145,Charge_Reference!A:A,Charge_Reference!B:B)</f>
        <v>Radiographs</v>
      </c>
      <c r="J145" s="8">
        <v>933.28129999999999</v>
      </c>
      <c r="K145" t="s">
        <v>7</v>
      </c>
      <c r="L145" t="str">
        <f t="shared" si="2"/>
        <v>No instructions needed</v>
      </c>
    </row>
    <row r="146" spans="1:12" x14ac:dyDescent="0.3">
      <c r="A146">
        <v>145</v>
      </c>
      <c r="B146">
        <v>50</v>
      </c>
      <c r="C146">
        <v>116</v>
      </c>
      <c r="D146" t="s">
        <v>158</v>
      </c>
      <c r="E146" t="s">
        <v>29</v>
      </c>
      <c r="F146" t="s">
        <v>94</v>
      </c>
      <c r="G146" t="s">
        <v>236</v>
      </c>
      <c r="H146" t="s">
        <v>32</v>
      </c>
      <c r="I146" t="str">
        <f>_xlfn.XLOOKUP(H146,Charge_Reference!A:A,Charge_Reference!B:B)</f>
        <v>Surgery</v>
      </c>
      <c r="J146" s="8">
        <v>684.50080000000003</v>
      </c>
      <c r="K146" t="s">
        <v>3</v>
      </c>
      <c r="L146" t="str">
        <f t="shared" si="2"/>
        <v>Needs TGH instructions</v>
      </c>
    </row>
    <row r="147" spans="1:12" x14ac:dyDescent="0.3">
      <c r="A147">
        <v>146</v>
      </c>
      <c r="B147">
        <v>178</v>
      </c>
      <c r="C147">
        <v>86</v>
      </c>
      <c r="D147" t="s">
        <v>33</v>
      </c>
      <c r="E147" t="s">
        <v>29</v>
      </c>
      <c r="F147" t="s">
        <v>71</v>
      </c>
      <c r="G147" t="s">
        <v>117</v>
      </c>
      <c r="H147" t="s">
        <v>40</v>
      </c>
      <c r="I147" t="str">
        <f>_xlfn.XLOOKUP(H147,Charge_Reference!A:A,Charge_Reference!B:B)</f>
        <v>Annual Bloodwork</v>
      </c>
      <c r="J147" s="8">
        <v>463.15280000000001</v>
      </c>
      <c r="K147" t="s">
        <v>5</v>
      </c>
      <c r="L147" t="str">
        <f t="shared" si="2"/>
        <v>No instructions needed</v>
      </c>
    </row>
    <row r="148" spans="1:12" x14ac:dyDescent="0.3">
      <c r="A148">
        <v>147</v>
      </c>
      <c r="B148">
        <v>109</v>
      </c>
      <c r="C148">
        <v>119</v>
      </c>
      <c r="D148" t="s">
        <v>220</v>
      </c>
      <c r="E148" t="s">
        <v>41</v>
      </c>
      <c r="F148" t="s">
        <v>34</v>
      </c>
      <c r="G148" t="s">
        <v>237</v>
      </c>
      <c r="H148" t="s">
        <v>47</v>
      </c>
      <c r="I148" t="str">
        <f>_xlfn.XLOOKUP(H148,Charge_Reference!A:A,Charge_Reference!B:B)</f>
        <v>Dental Cleaning</v>
      </c>
      <c r="J148" s="8">
        <v>952.69799999999998</v>
      </c>
      <c r="K148" t="s">
        <v>3</v>
      </c>
      <c r="L148" t="str">
        <f t="shared" si="2"/>
        <v>No instructions needed</v>
      </c>
    </row>
    <row r="149" spans="1:12" x14ac:dyDescent="0.3">
      <c r="A149">
        <v>148</v>
      </c>
      <c r="B149">
        <v>183</v>
      </c>
      <c r="C149">
        <v>95</v>
      </c>
      <c r="D149" t="s">
        <v>81</v>
      </c>
      <c r="E149" t="s">
        <v>29</v>
      </c>
      <c r="F149" t="s">
        <v>61</v>
      </c>
      <c r="G149" t="s">
        <v>238</v>
      </c>
      <c r="H149" t="s">
        <v>64</v>
      </c>
      <c r="I149" t="str">
        <f>_xlfn.XLOOKUP(H149,Charge_Reference!A:A,Charge_Reference!B:B)</f>
        <v>Nail Trim</v>
      </c>
      <c r="J149" s="8">
        <v>844.56769999999995</v>
      </c>
      <c r="K149" t="s">
        <v>5</v>
      </c>
      <c r="L149" t="str">
        <f t="shared" si="2"/>
        <v>No instructions needed</v>
      </c>
    </row>
    <row r="150" spans="1:12" x14ac:dyDescent="0.3">
      <c r="A150">
        <v>149</v>
      </c>
      <c r="B150">
        <v>11</v>
      </c>
      <c r="C150">
        <v>52</v>
      </c>
      <c r="D150" t="s">
        <v>149</v>
      </c>
      <c r="E150" t="s">
        <v>29</v>
      </c>
      <c r="F150" t="s">
        <v>76</v>
      </c>
      <c r="G150" t="s">
        <v>239</v>
      </c>
      <c r="H150" t="s">
        <v>32</v>
      </c>
      <c r="I150" t="str">
        <f>_xlfn.XLOOKUP(H150,Charge_Reference!A:A,Charge_Reference!B:B)</f>
        <v>Surgery</v>
      </c>
      <c r="J150" s="8">
        <v>292.92410000000001</v>
      </c>
      <c r="K150" t="s">
        <v>5</v>
      </c>
      <c r="L150" t="str">
        <f t="shared" si="2"/>
        <v>Needs TGH instructions</v>
      </c>
    </row>
    <row r="151" spans="1:12" x14ac:dyDescent="0.3">
      <c r="A151">
        <v>150</v>
      </c>
      <c r="B151">
        <v>91</v>
      </c>
      <c r="C151">
        <v>36</v>
      </c>
      <c r="D151" t="s">
        <v>70</v>
      </c>
      <c r="E151" t="s">
        <v>41</v>
      </c>
      <c r="F151" t="s">
        <v>42</v>
      </c>
      <c r="G151" t="s">
        <v>240</v>
      </c>
      <c r="H151" t="s">
        <v>59</v>
      </c>
      <c r="I151" t="str">
        <f>_xlfn.XLOOKUP(H151,Charge_Reference!A:A,Charge_Reference!B:B)</f>
        <v>Office Visit</v>
      </c>
      <c r="J151" s="8">
        <v>235.36689999999999</v>
      </c>
      <c r="K151" t="s">
        <v>5</v>
      </c>
      <c r="L151" t="str">
        <f t="shared" si="2"/>
        <v>No instructions needed</v>
      </c>
    </row>
    <row r="152" spans="1:12" x14ac:dyDescent="0.3">
      <c r="A152">
        <v>151</v>
      </c>
      <c r="B152">
        <v>107</v>
      </c>
      <c r="C152">
        <v>3</v>
      </c>
      <c r="D152" t="s">
        <v>185</v>
      </c>
      <c r="E152" t="s">
        <v>41</v>
      </c>
      <c r="F152" t="s">
        <v>53</v>
      </c>
      <c r="G152" t="s">
        <v>241</v>
      </c>
      <c r="H152" t="s">
        <v>32</v>
      </c>
      <c r="I152" t="str">
        <f>_xlfn.XLOOKUP(H152,Charge_Reference!A:A,Charge_Reference!B:B)</f>
        <v>Surgery</v>
      </c>
      <c r="J152" s="8">
        <v>55.591500000000003</v>
      </c>
      <c r="K152" t="s">
        <v>3</v>
      </c>
      <c r="L152" t="str">
        <f t="shared" si="2"/>
        <v>Needs TGH instructions</v>
      </c>
    </row>
    <row r="153" spans="1:12" x14ac:dyDescent="0.3">
      <c r="A153">
        <v>152</v>
      </c>
      <c r="B153">
        <v>55</v>
      </c>
      <c r="C153">
        <v>33</v>
      </c>
      <c r="D153" t="s">
        <v>147</v>
      </c>
      <c r="E153" t="s">
        <v>29</v>
      </c>
      <c r="F153" t="s">
        <v>45</v>
      </c>
      <c r="G153" t="s">
        <v>242</v>
      </c>
      <c r="H153" t="s">
        <v>32</v>
      </c>
      <c r="I153" t="str">
        <f>_xlfn.XLOOKUP(H153,Charge_Reference!A:A,Charge_Reference!B:B)</f>
        <v>Surgery</v>
      </c>
      <c r="J153" s="8">
        <v>990.17259999999999</v>
      </c>
      <c r="K153" t="s">
        <v>5</v>
      </c>
      <c r="L153" t="str">
        <f t="shared" si="2"/>
        <v>Needs TGH instructions</v>
      </c>
    </row>
    <row r="154" spans="1:12" x14ac:dyDescent="0.3">
      <c r="A154">
        <v>153</v>
      </c>
      <c r="B154">
        <v>18</v>
      </c>
      <c r="C154">
        <v>148</v>
      </c>
      <c r="D154" t="s">
        <v>120</v>
      </c>
      <c r="E154" t="s">
        <v>41</v>
      </c>
      <c r="F154" t="s">
        <v>82</v>
      </c>
      <c r="G154" t="s">
        <v>243</v>
      </c>
      <c r="H154" t="s">
        <v>59</v>
      </c>
      <c r="I154" t="str">
        <f>_xlfn.XLOOKUP(H154,Charge_Reference!A:A,Charge_Reference!B:B)</f>
        <v>Office Visit</v>
      </c>
      <c r="J154" s="8">
        <v>705.97770000000003</v>
      </c>
      <c r="K154" t="s">
        <v>3</v>
      </c>
      <c r="L154" t="str">
        <f t="shared" si="2"/>
        <v>No instructions needed</v>
      </c>
    </row>
    <row r="155" spans="1:12" x14ac:dyDescent="0.3">
      <c r="A155">
        <v>154</v>
      </c>
      <c r="B155">
        <v>25</v>
      </c>
      <c r="C155">
        <v>25</v>
      </c>
      <c r="D155" t="s">
        <v>183</v>
      </c>
      <c r="E155" t="s">
        <v>41</v>
      </c>
      <c r="F155" t="s">
        <v>104</v>
      </c>
      <c r="G155" t="s">
        <v>237</v>
      </c>
      <c r="H155" t="s">
        <v>32</v>
      </c>
      <c r="I155" t="str">
        <f>_xlfn.XLOOKUP(H155,Charge_Reference!A:A,Charge_Reference!B:B)</f>
        <v>Surgery</v>
      </c>
      <c r="J155" s="8">
        <v>98.849199999999996</v>
      </c>
      <c r="K155" t="s">
        <v>3</v>
      </c>
      <c r="L155" t="str">
        <f t="shared" si="2"/>
        <v>Needs TGH instructions</v>
      </c>
    </row>
    <row r="156" spans="1:12" x14ac:dyDescent="0.3">
      <c r="A156">
        <v>155</v>
      </c>
      <c r="B156">
        <v>116</v>
      </c>
      <c r="C156">
        <v>85</v>
      </c>
      <c r="D156" t="s">
        <v>194</v>
      </c>
      <c r="E156" t="s">
        <v>29</v>
      </c>
      <c r="F156" t="s">
        <v>45</v>
      </c>
      <c r="G156" t="s">
        <v>186</v>
      </c>
      <c r="H156" t="s">
        <v>59</v>
      </c>
      <c r="I156" t="str">
        <f>_xlfn.XLOOKUP(H156,Charge_Reference!A:A,Charge_Reference!B:B)</f>
        <v>Office Visit</v>
      </c>
      <c r="J156" s="8">
        <v>-23.1691</v>
      </c>
      <c r="K156" t="s">
        <v>5</v>
      </c>
      <c r="L156" t="str">
        <f t="shared" si="2"/>
        <v>No instructions needed</v>
      </c>
    </row>
    <row r="157" spans="1:12" x14ac:dyDescent="0.3">
      <c r="A157">
        <v>156</v>
      </c>
      <c r="B157">
        <v>154</v>
      </c>
      <c r="C157">
        <v>66</v>
      </c>
      <c r="D157" t="s">
        <v>37</v>
      </c>
      <c r="E157" t="s">
        <v>41</v>
      </c>
      <c r="F157" t="s">
        <v>34</v>
      </c>
      <c r="G157" t="s">
        <v>143</v>
      </c>
      <c r="H157" t="s">
        <v>55</v>
      </c>
      <c r="I157" t="str">
        <f>_xlfn.XLOOKUP(H157,Charge_Reference!A:A,Charge_Reference!B:B)</f>
        <v>Vaccination</v>
      </c>
      <c r="J157" s="8">
        <v>268.58409999999998</v>
      </c>
      <c r="K157" t="s">
        <v>7</v>
      </c>
      <c r="L157" t="str">
        <f t="shared" si="2"/>
        <v>No instructions needed</v>
      </c>
    </row>
    <row r="158" spans="1:12" x14ac:dyDescent="0.3">
      <c r="A158">
        <v>157</v>
      </c>
      <c r="B158">
        <v>112</v>
      </c>
      <c r="C158">
        <v>34</v>
      </c>
      <c r="D158" t="s">
        <v>244</v>
      </c>
      <c r="E158" t="s">
        <v>41</v>
      </c>
      <c r="F158" t="s">
        <v>145</v>
      </c>
      <c r="G158" t="s">
        <v>124</v>
      </c>
      <c r="H158" t="s">
        <v>59</v>
      </c>
      <c r="I158" t="str">
        <f>_xlfn.XLOOKUP(H158,Charge_Reference!A:A,Charge_Reference!B:B)</f>
        <v>Office Visit</v>
      </c>
      <c r="J158" s="8">
        <v>90.513000000000005</v>
      </c>
      <c r="K158" t="s">
        <v>5</v>
      </c>
      <c r="L158" t="str">
        <f t="shared" si="2"/>
        <v>No instructions needed</v>
      </c>
    </row>
    <row r="159" spans="1:12" x14ac:dyDescent="0.3">
      <c r="A159">
        <v>158</v>
      </c>
      <c r="B159">
        <v>185</v>
      </c>
      <c r="C159">
        <v>70</v>
      </c>
      <c r="D159" t="s">
        <v>139</v>
      </c>
      <c r="E159" t="s">
        <v>29</v>
      </c>
      <c r="F159" t="s">
        <v>76</v>
      </c>
      <c r="G159" t="s">
        <v>157</v>
      </c>
      <c r="H159" t="s">
        <v>40</v>
      </c>
      <c r="I159" t="str">
        <f>_xlfn.XLOOKUP(H159,Charge_Reference!A:A,Charge_Reference!B:B)</f>
        <v>Annual Bloodwork</v>
      </c>
      <c r="J159" s="8">
        <v>907.32479999999998</v>
      </c>
      <c r="K159" t="s">
        <v>5</v>
      </c>
      <c r="L159" t="str">
        <f t="shared" si="2"/>
        <v>No instructions needed</v>
      </c>
    </row>
    <row r="160" spans="1:12" x14ac:dyDescent="0.3">
      <c r="A160">
        <v>159</v>
      </c>
      <c r="B160">
        <v>87</v>
      </c>
      <c r="C160">
        <v>47</v>
      </c>
      <c r="D160" t="s">
        <v>101</v>
      </c>
      <c r="E160" t="s">
        <v>41</v>
      </c>
      <c r="F160" t="s">
        <v>49</v>
      </c>
      <c r="G160" t="s">
        <v>114</v>
      </c>
      <c r="H160" t="s">
        <v>32</v>
      </c>
      <c r="I160" t="str">
        <f>_xlfn.XLOOKUP(H160,Charge_Reference!A:A,Charge_Reference!B:B)</f>
        <v>Surgery</v>
      </c>
      <c r="J160" s="8">
        <v>-54.969900000000003</v>
      </c>
      <c r="K160" t="s">
        <v>7</v>
      </c>
      <c r="L160" t="str">
        <f t="shared" si="2"/>
        <v>Needs TGH instructions</v>
      </c>
    </row>
    <row r="161" spans="1:12" x14ac:dyDescent="0.3">
      <c r="A161">
        <v>160</v>
      </c>
      <c r="B161">
        <v>147</v>
      </c>
      <c r="C161">
        <v>69</v>
      </c>
      <c r="D161" t="s">
        <v>214</v>
      </c>
      <c r="E161" t="s">
        <v>29</v>
      </c>
      <c r="F161" t="s">
        <v>38</v>
      </c>
      <c r="G161" t="s">
        <v>103</v>
      </c>
      <c r="H161" t="s">
        <v>55</v>
      </c>
      <c r="I161" t="str">
        <f>_xlfn.XLOOKUP(H161,Charge_Reference!A:A,Charge_Reference!B:B)</f>
        <v>Vaccination</v>
      </c>
      <c r="J161" s="8">
        <v>-208.95840000000001</v>
      </c>
      <c r="K161" t="s">
        <v>7</v>
      </c>
      <c r="L161" t="str">
        <f t="shared" si="2"/>
        <v>No instructions needed</v>
      </c>
    </row>
    <row r="162" spans="1:12" x14ac:dyDescent="0.3">
      <c r="A162">
        <v>161</v>
      </c>
      <c r="B162">
        <v>131</v>
      </c>
      <c r="C162">
        <v>83</v>
      </c>
      <c r="D162" t="s">
        <v>91</v>
      </c>
      <c r="E162" t="s">
        <v>41</v>
      </c>
      <c r="F162" t="s">
        <v>151</v>
      </c>
      <c r="G162" t="s">
        <v>225</v>
      </c>
      <c r="H162" t="s">
        <v>40</v>
      </c>
      <c r="I162" t="str">
        <f>_xlfn.XLOOKUP(H162,Charge_Reference!A:A,Charge_Reference!B:B)</f>
        <v>Annual Bloodwork</v>
      </c>
      <c r="J162" s="8">
        <v>-245.36539999999999</v>
      </c>
      <c r="K162" t="s">
        <v>7</v>
      </c>
      <c r="L162" t="str">
        <f t="shared" si="2"/>
        <v>No instructions needed</v>
      </c>
    </row>
    <row r="163" spans="1:12" x14ac:dyDescent="0.3">
      <c r="A163">
        <v>162</v>
      </c>
      <c r="B163">
        <v>177</v>
      </c>
      <c r="C163">
        <v>84</v>
      </c>
      <c r="D163" t="s">
        <v>56</v>
      </c>
      <c r="E163" t="s">
        <v>29</v>
      </c>
      <c r="F163" t="s">
        <v>66</v>
      </c>
      <c r="G163" t="s">
        <v>245</v>
      </c>
      <c r="H163" t="s">
        <v>40</v>
      </c>
      <c r="I163" t="str">
        <f>_xlfn.XLOOKUP(H163,Charge_Reference!A:A,Charge_Reference!B:B)</f>
        <v>Annual Bloodwork</v>
      </c>
      <c r="J163" s="8">
        <v>429.26049999999998</v>
      </c>
      <c r="K163" t="s">
        <v>7</v>
      </c>
      <c r="L163" t="str">
        <f t="shared" si="2"/>
        <v>No instructions needed</v>
      </c>
    </row>
    <row r="164" spans="1:12" x14ac:dyDescent="0.3">
      <c r="A164">
        <v>163</v>
      </c>
      <c r="B164">
        <v>166</v>
      </c>
      <c r="C164">
        <v>40</v>
      </c>
      <c r="D164" t="s">
        <v>230</v>
      </c>
      <c r="E164" t="s">
        <v>29</v>
      </c>
      <c r="F164" t="s">
        <v>131</v>
      </c>
      <c r="G164" t="s">
        <v>192</v>
      </c>
      <c r="H164" t="s">
        <v>47</v>
      </c>
      <c r="I164" t="str">
        <f>_xlfn.XLOOKUP(H164,Charge_Reference!A:A,Charge_Reference!B:B)</f>
        <v>Dental Cleaning</v>
      </c>
      <c r="J164" s="8">
        <v>123.7726</v>
      </c>
      <c r="K164" t="s">
        <v>3</v>
      </c>
      <c r="L164" t="str">
        <f t="shared" si="2"/>
        <v>No instructions needed</v>
      </c>
    </row>
    <row r="165" spans="1:12" x14ac:dyDescent="0.3">
      <c r="A165">
        <v>164</v>
      </c>
      <c r="B165">
        <v>7</v>
      </c>
      <c r="C165">
        <v>114</v>
      </c>
      <c r="D165" t="s">
        <v>176</v>
      </c>
      <c r="E165" t="s">
        <v>29</v>
      </c>
      <c r="F165" t="s">
        <v>97</v>
      </c>
      <c r="G165" t="s">
        <v>117</v>
      </c>
      <c r="H165" t="s">
        <v>64</v>
      </c>
      <c r="I165" t="str">
        <f>_xlfn.XLOOKUP(H165,Charge_Reference!A:A,Charge_Reference!B:B)</f>
        <v>Nail Trim</v>
      </c>
      <c r="J165" s="8">
        <v>-99.235699999999994</v>
      </c>
      <c r="K165" t="s">
        <v>5</v>
      </c>
      <c r="L165" t="str">
        <f t="shared" si="2"/>
        <v>No instructions needed</v>
      </c>
    </row>
    <row r="166" spans="1:12" x14ac:dyDescent="0.3">
      <c r="A166">
        <v>165</v>
      </c>
      <c r="B166">
        <v>104</v>
      </c>
      <c r="C166">
        <v>32</v>
      </c>
      <c r="D166" t="s">
        <v>68</v>
      </c>
      <c r="E166" t="s">
        <v>41</v>
      </c>
      <c r="F166" t="s">
        <v>45</v>
      </c>
      <c r="G166" t="s">
        <v>246</v>
      </c>
      <c r="H166" t="s">
        <v>36</v>
      </c>
      <c r="I166" t="str">
        <f>_xlfn.XLOOKUP(H166,Charge_Reference!A:A,Charge_Reference!B:B)</f>
        <v>Emergency Visit</v>
      </c>
      <c r="J166" s="8">
        <v>2.5354000000000001</v>
      </c>
      <c r="K166" t="s">
        <v>5</v>
      </c>
      <c r="L166" t="str">
        <f t="shared" si="2"/>
        <v>No instructions needed</v>
      </c>
    </row>
    <row r="167" spans="1:12" x14ac:dyDescent="0.3">
      <c r="A167">
        <v>166</v>
      </c>
      <c r="B167">
        <v>174</v>
      </c>
      <c r="C167">
        <v>102</v>
      </c>
      <c r="D167" t="s">
        <v>28</v>
      </c>
      <c r="E167" t="s">
        <v>29</v>
      </c>
      <c r="F167" t="s">
        <v>85</v>
      </c>
      <c r="G167" t="s">
        <v>247</v>
      </c>
      <c r="H167" t="s">
        <v>51</v>
      </c>
      <c r="I167" t="str">
        <f>_xlfn.XLOOKUP(H167,Charge_Reference!A:A,Charge_Reference!B:B)</f>
        <v>Radiographs</v>
      </c>
      <c r="J167" s="8">
        <v>528.31460000000004</v>
      </c>
      <c r="K167" t="s">
        <v>7</v>
      </c>
      <c r="L167" t="str">
        <f t="shared" si="2"/>
        <v>No instructions needed</v>
      </c>
    </row>
    <row r="168" spans="1:12" x14ac:dyDescent="0.3">
      <c r="A168">
        <v>167</v>
      </c>
      <c r="B168">
        <v>115</v>
      </c>
      <c r="C168">
        <v>22</v>
      </c>
      <c r="D168" t="s">
        <v>162</v>
      </c>
      <c r="E168" t="s">
        <v>29</v>
      </c>
      <c r="F168" t="s">
        <v>71</v>
      </c>
      <c r="G168" t="s">
        <v>190</v>
      </c>
      <c r="H168" t="s">
        <v>47</v>
      </c>
      <c r="I168" t="str">
        <f>_xlfn.XLOOKUP(H168,Charge_Reference!A:A,Charge_Reference!B:B)</f>
        <v>Dental Cleaning</v>
      </c>
      <c r="J168" s="8">
        <v>783.82770000000005</v>
      </c>
      <c r="K168" t="s">
        <v>5</v>
      </c>
      <c r="L168" t="str">
        <f t="shared" si="2"/>
        <v>No instructions needed</v>
      </c>
    </row>
    <row r="169" spans="1:12" x14ac:dyDescent="0.3">
      <c r="A169">
        <v>168</v>
      </c>
      <c r="B169">
        <v>137</v>
      </c>
      <c r="C169">
        <v>77</v>
      </c>
      <c r="D169" t="s">
        <v>220</v>
      </c>
      <c r="E169" t="s">
        <v>29</v>
      </c>
      <c r="F169" t="s">
        <v>111</v>
      </c>
      <c r="G169" t="s">
        <v>144</v>
      </c>
      <c r="H169" t="s">
        <v>55</v>
      </c>
      <c r="I169" t="str">
        <f>_xlfn.XLOOKUP(H169,Charge_Reference!A:A,Charge_Reference!B:B)</f>
        <v>Vaccination</v>
      </c>
      <c r="J169" s="8">
        <v>9.56</v>
      </c>
      <c r="K169" t="s">
        <v>5</v>
      </c>
      <c r="L169" t="str">
        <f t="shared" si="2"/>
        <v>No instructions needed</v>
      </c>
    </row>
    <row r="170" spans="1:12" x14ac:dyDescent="0.3">
      <c r="A170">
        <v>169</v>
      </c>
      <c r="B170">
        <v>90</v>
      </c>
      <c r="C170">
        <v>99</v>
      </c>
      <c r="D170" t="s">
        <v>211</v>
      </c>
      <c r="E170" t="s">
        <v>41</v>
      </c>
      <c r="F170" t="s">
        <v>76</v>
      </c>
      <c r="G170" t="s">
        <v>248</v>
      </c>
      <c r="H170" t="s">
        <v>36</v>
      </c>
      <c r="I170" t="str">
        <f>_xlfn.XLOOKUP(H170,Charge_Reference!A:A,Charge_Reference!B:B)</f>
        <v>Emergency Visit</v>
      </c>
      <c r="J170" s="8">
        <v>172.94040000000001</v>
      </c>
      <c r="K170" t="s">
        <v>5</v>
      </c>
      <c r="L170" t="str">
        <f t="shared" si="2"/>
        <v>No instructions needed</v>
      </c>
    </row>
    <row r="171" spans="1:12" x14ac:dyDescent="0.3">
      <c r="A171">
        <v>170</v>
      </c>
      <c r="B171">
        <v>40</v>
      </c>
      <c r="C171">
        <v>54</v>
      </c>
      <c r="D171" t="s">
        <v>139</v>
      </c>
      <c r="E171" t="s">
        <v>29</v>
      </c>
      <c r="F171" t="s">
        <v>135</v>
      </c>
      <c r="G171" t="s">
        <v>249</v>
      </c>
      <c r="H171" t="s">
        <v>64</v>
      </c>
      <c r="I171" t="str">
        <f>_xlfn.XLOOKUP(H171,Charge_Reference!A:A,Charge_Reference!B:B)</f>
        <v>Nail Trim</v>
      </c>
      <c r="J171" s="8">
        <v>318.49880000000002</v>
      </c>
      <c r="K171" t="s">
        <v>3</v>
      </c>
      <c r="L171" t="str">
        <f t="shared" si="2"/>
        <v>No instructions needed</v>
      </c>
    </row>
    <row r="172" spans="1:12" x14ac:dyDescent="0.3">
      <c r="A172">
        <v>171</v>
      </c>
      <c r="B172">
        <v>44</v>
      </c>
      <c r="C172">
        <v>64</v>
      </c>
      <c r="D172" t="s">
        <v>96</v>
      </c>
      <c r="E172" t="s">
        <v>41</v>
      </c>
      <c r="F172" t="s">
        <v>82</v>
      </c>
      <c r="G172" t="s">
        <v>250</v>
      </c>
      <c r="H172" t="s">
        <v>36</v>
      </c>
      <c r="I172" t="str">
        <f>_xlfn.XLOOKUP(H172,Charge_Reference!A:A,Charge_Reference!B:B)</f>
        <v>Emergency Visit</v>
      </c>
      <c r="J172" s="8">
        <v>-152.84360000000001</v>
      </c>
      <c r="K172" t="s">
        <v>7</v>
      </c>
      <c r="L172" t="str">
        <f t="shared" si="2"/>
        <v>No instructions needed</v>
      </c>
    </row>
    <row r="173" spans="1:12" x14ac:dyDescent="0.3">
      <c r="A173">
        <v>172</v>
      </c>
      <c r="B173">
        <v>134</v>
      </c>
      <c r="C173">
        <v>101</v>
      </c>
      <c r="D173" t="s">
        <v>101</v>
      </c>
      <c r="E173" t="s">
        <v>29</v>
      </c>
      <c r="F173" t="s">
        <v>82</v>
      </c>
      <c r="G173" t="s">
        <v>251</v>
      </c>
      <c r="H173" t="s">
        <v>40</v>
      </c>
      <c r="I173" t="str">
        <f>_xlfn.XLOOKUP(H173,Charge_Reference!A:A,Charge_Reference!B:B)</f>
        <v>Annual Bloodwork</v>
      </c>
      <c r="J173" s="8">
        <v>925.41030000000001</v>
      </c>
      <c r="K173" t="s">
        <v>7</v>
      </c>
      <c r="L173" t="str">
        <f t="shared" si="2"/>
        <v>No instructions needed</v>
      </c>
    </row>
    <row r="174" spans="1:12" x14ac:dyDescent="0.3">
      <c r="A174">
        <v>173</v>
      </c>
      <c r="B174">
        <v>139</v>
      </c>
      <c r="C174">
        <v>125</v>
      </c>
      <c r="D174" t="s">
        <v>142</v>
      </c>
      <c r="E174" t="s">
        <v>29</v>
      </c>
      <c r="F174" t="s">
        <v>97</v>
      </c>
      <c r="G174" t="s">
        <v>252</v>
      </c>
      <c r="H174" t="s">
        <v>32</v>
      </c>
      <c r="I174" t="str">
        <f>_xlfn.XLOOKUP(H174,Charge_Reference!A:A,Charge_Reference!B:B)</f>
        <v>Surgery</v>
      </c>
      <c r="J174" s="8">
        <v>124.3339</v>
      </c>
      <c r="K174" t="s">
        <v>5</v>
      </c>
      <c r="L174" t="str">
        <f t="shared" si="2"/>
        <v>Needs TGH instructions</v>
      </c>
    </row>
    <row r="175" spans="1:12" x14ac:dyDescent="0.3">
      <c r="A175">
        <v>174</v>
      </c>
      <c r="B175">
        <v>166</v>
      </c>
      <c r="C175">
        <v>25</v>
      </c>
      <c r="D175" t="s">
        <v>154</v>
      </c>
      <c r="E175" t="s">
        <v>29</v>
      </c>
      <c r="F175" t="s">
        <v>38</v>
      </c>
      <c r="G175" t="s">
        <v>253</v>
      </c>
      <c r="H175" t="s">
        <v>40</v>
      </c>
      <c r="I175" t="str">
        <f>_xlfn.XLOOKUP(H175,Charge_Reference!A:A,Charge_Reference!B:B)</f>
        <v>Annual Bloodwork</v>
      </c>
      <c r="J175" s="8">
        <v>392.92079999999999</v>
      </c>
      <c r="K175" t="s">
        <v>3</v>
      </c>
      <c r="L175" t="str">
        <f t="shared" si="2"/>
        <v>No instructions needed</v>
      </c>
    </row>
    <row r="176" spans="1:12" x14ac:dyDescent="0.3">
      <c r="A176">
        <v>175</v>
      </c>
      <c r="B176">
        <v>74</v>
      </c>
      <c r="C176">
        <v>68</v>
      </c>
      <c r="D176" t="s">
        <v>81</v>
      </c>
      <c r="E176" t="s">
        <v>29</v>
      </c>
      <c r="F176" t="s">
        <v>102</v>
      </c>
      <c r="G176" t="s">
        <v>254</v>
      </c>
      <c r="H176" t="s">
        <v>36</v>
      </c>
      <c r="I176" t="str">
        <f>_xlfn.XLOOKUP(H176,Charge_Reference!A:A,Charge_Reference!B:B)</f>
        <v>Emergency Visit</v>
      </c>
      <c r="J176" s="8">
        <v>611.38149999999996</v>
      </c>
      <c r="K176" t="s">
        <v>3</v>
      </c>
      <c r="L176" t="str">
        <f t="shared" si="2"/>
        <v>No instructions needed</v>
      </c>
    </row>
    <row r="177" spans="1:12" x14ac:dyDescent="0.3">
      <c r="A177">
        <v>176</v>
      </c>
      <c r="B177">
        <v>167</v>
      </c>
      <c r="C177">
        <v>54</v>
      </c>
      <c r="D177" t="s">
        <v>120</v>
      </c>
      <c r="E177" t="s">
        <v>41</v>
      </c>
      <c r="F177" t="s">
        <v>97</v>
      </c>
      <c r="G177" t="s">
        <v>255</v>
      </c>
      <c r="H177" t="s">
        <v>51</v>
      </c>
      <c r="I177" t="str">
        <f>_xlfn.XLOOKUP(H177,Charge_Reference!A:A,Charge_Reference!B:B)</f>
        <v>Radiographs</v>
      </c>
      <c r="J177" s="8">
        <v>-114.69</v>
      </c>
      <c r="K177" t="s">
        <v>3</v>
      </c>
      <c r="L177" t="str">
        <f t="shared" si="2"/>
        <v>No instructions needed</v>
      </c>
    </row>
    <row r="178" spans="1:12" x14ac:dyDescent="0.3">
      <c r="A178">
        <v>177</v>
      </c>
      <c r="B178">
        <v>36</v>
      </c>
      <c r="C178">
        <v>49</v>
      </c>
      <c r="D178" t="s">
        <v>120</v>
      </c>
      <c r="E178" t="s">
        <v>41</v>
      </c>
      <c r="F178" t="s">
        <v>71</v>
      </c>
      <c r="G178" t="s">
        <v>256</v>
      </c>
      <c r="H178" t="s">
        <v>64</v>
      </c>
      <c r="I178" t="str">
        <f>_xlfn.XLOOKUP(H178,Charge_Reference!A:A,Charge_Reference!B:B)</f>
        <v>Nail Trim</v>
      </c>
      <c r="J178" s="8">
        <v>877.64509999999996</v>
      </c>
      <c r="K178" t="s">
        <v>3</v>
      </c>
      <c r="L178" t="str">
        <f t="shared" si="2"/>
        <v>No instructions needed</v>
      </c>
    </row>
    <row r="179" spans="1:12" x14ac:dyDescent="0.3">
      <c r="A179">
        <v>178</v>
      </c>
      <c r="B179">
        <v>23</v>
      </c>
      <c r="C179">
        <v>136</v>
      </c>
      <c r="D179" t="s">
        <v>128</v>
      </c>
      <c r="E179" t="s">
        <v>29</v>
      </c>
      <c r="F179" t="s">
        <v>116</v>
      </c>
      <c r="G179" t="s">
        <v>169</v>
      </c>
      <c r="H179" t="s">
        <v>40</v>
      </c>
      <c r="I179" t="str">
        <f>_xlfn.XLOOKUP(H179,Charge_Reference!A:A,Charge_Reference!B:B)</f>
        <v>Annual Bloodwork</v>
      </c>
      <c r="J179" s="8">
        <v>972.06610000000001</v>
      </c>
      <c r="K179" t="s">
        <v>3</v>
      </c>
      <c r="L179" t="str">
        <f t="shared" si="2"/>
        <v>No instructions needed</v>
      </c>
    </row>
    <row r="180" spans="1:12" x14ac:dyDescent="0.3">
      <c r="A180">
        <v>179</v>
      </c>
      <c r="B180">
        <v>100</v>
      </c>
      <c r="C180">
        <v>112</v>
      </c>
      <c r="D180" t="s">
        <v>191</v>
      </c>
      <c r="E180" t="s">
        <v>41</v>
      </c>
      <c r="F180" t="s">
        <v>107</v>
      </c>
      <c r="G180" t="s">
        <v>246</v>
      </c>
      <c r="H180" t="s">
        <v>55</v>
      </c>
      <c r="I180" t="str">
        <f>_xlfn.XLOOKUP(H180,Charge_Reference!A:A,Charge_Reference!B:B)</f>
        <v>Vaccination</v>
      </c>
      <c r="J180" s="8">
        <v>-54.795099999999998</v>
      </c>
      <c r="K180" t="s">
        <v>7</v>
      </c>
      <c r="L180" t="str">
        <f t="shared" si="2"/>
        <v>No instructions needed</v>
      </c>
    </row>
    <row r="181" spans="1:12" x14ac:dyDescent="0.3">
      <c r="A181">
        <v>180</v>
      </c>
      <c r="B181">
        <v>58</v>
      </c>
      <c r="C181">
        <v>144</v>
      </c>
      <c r="D181" t="s">
        <v>84</v>
      </c>
      <c r="E181" t="s">
        <v>29</v>
      </c>
      <c r="F181" t="s">
        <v>38</v>
      </c>
      <c r="G181" t="s">
        <v>257</v>
      </c>
      <c r="H181" t="s">
        <v>32</v>
      </c>
      <c r="I181" t="str">
        <f>_xlfn.XLOOKUP(H181,Charge_Reference!A:A,Charge_Reference!B:B)</f>
        <v>Surgery</v>
      </c>
      <c r="J181" s="8">
        <v>157.59950000000001</v>
      </c>
      <c r="K181" t="s">
        <v>3</v>
      </c>
      <c r="L181" t="str">
        <f t="shared" si="2"/>
        <v>Needs TGH instructions</v>
      </c>
    </row>
    <row r="182" spans="1:12" x14ac:dyDescent="0.3">
      <c r="A182">
        <v>181</v>
      </c>
      <c r="B182">
        <v>91</v>
      </c>
      <c r="C182">
        <v>22</v>
      </c>
      <c r="D182" t="s">
        <v>48</v>
      </c>
      <c r="E182" t="s">
        <v>29</v>
      </c>
      <c r="F182" t="s">
        <v>49</v>
      </c>
      <c r="G182" t="s">
        <v>258</v>
      </c>
      <c r="H182" t="s">
        <v>40</v>
      </c>
      <c r="I182" t="str">
        <f>_xlfn.XLOOKUP(H182,Charge_Reference!A:A,Charge_Reference!B:B)</f>
        <v>Annual Bloodwork</v>
      </c>
      <c r="J182" s="8">
        <v>731.43449999999996</v>
      </c>
      <c r="K182" t="s">
        <v>7</v>
      </c>
      <c r="L182" t="str">
        <f t="shared" si="2"/>
        <v>No instructions needed</v>
      </c>
    </row>
    <row r="183" spans="1:12" x14ac:dyDescent="0.3">
      <c r="A183">
        <v>182</v>
      </c>
      <c r="B183">
        <v>173</v>
      </c>
      <c r="C183">
        <v>14</v>
      </c>
      <c r="D183" t="s">
        <v>142</v>
      </c>
      <c r="E183" t="s">
        <v>29</v>
      </c>
      <c r="F183" t="s">
        <v>102</v>
      </c>
      <c r="G183" t="s">
        <v>259</v>
      </c>
      <c r="H183" t="s">
        <v>64</v>
      </c>
      <c r="I183" t="str">
        <f>_xlfn.XLOOKUP(H183,Charge_Reference!A:A,Charge_Reference!B:B)</f>
        <v>Nail Trim</v>
      </c>
      <c r="J183" s="8">
        <v>824.13589999999999</v>
      </c>
      <c r="K183" t="s">
        <v>5</v>
      </c>
      <c r="L183" t="str">
        <f t="shared" si="2"/>
        <v>No instructions needed</v>
      </c>
    </row>
    <row r="184" spans="1:12" x14ac:dyDescent="0.3">
      <c r="A184">
        <v>183</v>
      </c>
      <c r="B184">
        <v>6</v>
      </c>
      <c r="C184">
        <v>9</v>
      </c>
      <c r="D184" t="s">
        <v>220</v>
      </c>
      <c r="E184" t="s">
        <v>41</v>
      </c>
      <c r="F184" t="s">
        <v>116</v>
      </c>
      <c r="G184" t="s">
        <v>260</v>
      </c>
      <c r="H184" t="s">
        <v>55</v>
      </c>
      <c r="I184" t="str">
        <f>_xlfn.XLOOKUP(H184,Charge_Reference!A:A,Charge_Reference!B:B)</f>
        <v>Vaccination</v>
      </c>
      <c r="J184" s="8">
        <v>-111.2376</v>
      </c>
      <c r="K184" t="s">
        <v>5</v>
      </c>
      <c r="L184" t="str">
        <f t="shared" si="2"/>
        <v>No instructions needed</v>
      </c>
    </row>
    <row r="185" spans="1:12" x14ac:dyDescent="0.3">
      <c r="A185">
        <v>184</v>
      </c>
      <c r="B185">
        <v>199</v>
      </c>
      <c r="C185">
        <v>16</v>
      </c>
      <c r="D185" t="s">
        <v>68</v>
      </c>
      <c r="E185" t="s">
        <v>41</v>
      </c>
      <c r="F185" t="s">
        <v>151</v>
      </c>
      <c r="G185" t="s">
        <v>110</v>
      </c>
      <c r="H185" t="s">
        <v>64</v>
      </c>
      <c r="I185" t="str">
        <f>_xlfn.XLOOKUP(H185,Charge_Reference!A:A,Charge_Reference!B:B)</f>
        <v>Nail Trim</v>
      </c>
      <c r="J185" s="8">
        <v>-130.70259999999999</v>
      </c>
      <c r="K185" t="s">
        <v>5</v>
      </c>
      <c r="L185" t="str">
        <f t="shared" si="2"/>
        <v>No instructions needed</v>
      </c>
    </row>
    <row r="186" spans="1:12" x14ac:dyDescent="0.3">
      <c r="A186">
        <v>185</v>
      </c>
      <c r="B186">
        <v>105</v>
      </c>
      <c r="C186">
        <v>8</v>
      </c>
      <c r="D186" t="s">
        <v>220</v>
      </c>
      <c r="E186" t="s">
        <v>29</v>
      </c>
      <c r="F186" t="s">
        <v>71</v>
      </c>
      <c r="G186" t="s">
        <v>261</v>
      </c>
      <c r="H186" t="s">
        <v>64</v>
      </c>
      <c r="I186" t="str">
        <f>_xlfn.XLOOKUP(H186,Charge_Reference!A:A,Charge_Reference!B:B)</f>
        <v>Nail Trim</v>
      </c>
      <c r="J186" s="8">
        <v>591.48030000000006</v>
      </c>
      <c r="K186" t="s">
        <v>7</v>
      </c>
      <c r="L186" t="str">
        <f t="shared" si="2"/>
        <v>No instructions needed</v>
      </c>
    </row>
    <row r="187" spans="1:12" x14ac:dyDescent="0.3">
      <c r="A187">
        <v>186</v>
      </c>
      <c r="B187">
        <v>75</v>
      </c>
      <c r="C187">
        <v>1</v>
      </c>
      <c r="D187" t="s">
        <v>84</v>
      </c>
      <c r="E187" t="s">
        <v>41</v>
      </c>
      <c r="F187" t="s">
        <v>42</v>
      </c>
      <c r="G187" t="s">
        <v>262</v>
      </c>
      <c r="H187" t="s">
        <v>59</v>
      </c>
      <c r="I187" t="str">
        <f>_xlfn.XLOOKUP(H187,Charge_Reference!A:A,Charge_Reference!B:B)</f>
        <v>Office Visit</v>
      </c>
      <c r="J187" s="8">
        <v>969.21100000000001</v>
      </c>
      <c r="K187" t="s">
        <v>5</v>
      </c>
      <c r="L187" t="str">
        <f t="shared" si="2"/>
        <v>No instructions needed</v>
      </c>
    </row>
    <row r="188" spans="1:12" x14ac:dyDescent="0.3">
      <c r="A188">
        <v>187</v>
      </c>
      <c r="B188">
        <v>7</v>
      </c>
      <c r="C188">
        <v>18</v>
      </c>
      <c r="D188" t="s">
        <v>220</v>
      </c>
      <c r="E188" t="s">
        <v>29</v>
      </c>
      <c r="F188" t="s">
        <v>42</v>
      </c>
      <c r="G188" t="s">
        <v>263</v>
      </c>
      <c r="H188" t="s">
        <v>36</v>
      </c>
      <c r="I188" t="str">
        <f>_xlfn.XLOOKUP(H188,Charge_Reference!A:A,Charge_Reference!B:B)</f>
        <v>Emergency Visit</v>
      </c>
      <c r="J188" s="8">
        <v>315.58300000000003</v>
      </c>
      <c r="K188" t="s">
        <v>5</v>
      </c>
      <c r="L188" t="str">
        <f t="shared" si="2"/>
        <v>No instructions needed</v>
      </c>
    </row>
    <row r="189" spans="1:12" x14ac:dyDescent="0.3">
      <c r="A189">
        <v>188</v>
      </c>
      <c r="B189">
        <v>91</v>
      </c>
      <c r="C189">
        <v>124</v>
      </c>
      <c r="D189" t="s">
        <v>78</v>
      </c>
      <c r="E189" t="s">
        <v>41</v>
      </c>
      <c r="F189" t="s">
        <v>66</v>
      </c>
      <c r="G189" t="s">
        <v>202</v>
      </c>
      <c r="H189" t="s">
        <v>36</v>
      </c>
      <c r="I189" t="str">
        <f>_xlfn.XLOOKUP(H189,Charge_Reference!A:A,Charge_Reference!B:B)</f>
        <v>Emergency Visit</v>
      </c>
      <c r="J189" s="8">
        <v>279.47129999999999</v>
      </c>
      <c r="K189" t="s">
        <v>3</v>
      </c>
      <c r="L189" t="str">
        <f t="shared" si="2"/>
        <v>No instructions needed</v>
      </c>
    </row>
    <row r="190" spans="1:12" x14ac:dyDescent="0.3">
      <c r="A190">
        <v>189</v>
      </c>
      <c r="B190">
        <v>123</v>
      </c>
      <c r="C190">
        <v>131</v>
      </c>
      <c r="D190" t="s">
        <v>217</v>
      </c>
      <c r="E190" t="s">
        <v>29</v>
      </c>
      <c r="F190" t="s">
        <v>76</v>
      </c>
      <c r="G190" t="s">
        <v>213</v>
      </c>
      <c r="H190" t="s">
        <v>32</v>
      </c>
      <c r="I190" t="str">
        <f>_xlfn.XLOOKUP(H190,Charge_Reference!A:A,Charge_Reference!B:B)</f>
        <v>Surgery</v>
      </c>
      <c r="J190" s="8">
        <v>885.03340000000003</v>
      </c>
      <c r="K190" t="s">
        <v>5</v>
      </c>
      <c r="L190" t="str">
        <f t="shared" si="2"/>
        <v>Needs TGH instructions</v>
      </c>
    </row>
    <row r="191" spans="1:12" x14ac:dyDescent="0.3">
      <c r="A191">
        <v>190</v>
      </c>
      <c r="B191">
        <v>55</v>
      </c>
      <c r="C191">
        <v>94</v>
      </c>
      <c r="D191" t="s">
        <v>91</v>
      </c>
      <c r="E191" t="s">
        <v>41</v>
      </c>
      <c r="F191" t="s">
        <v>145</v>
      </c>
      <c r="G191" t="s">
        <v>264</v>
      </c>
      <c r="H191" t="s">
        <v>32</v>
      </c>
      <c r="I191" t="str">
        <f>_xlfn.XLOOKUP(H191,Charge_Reference!A:A,Charge_Reference!B:B)</f>
        <v>Surgery</v>
      </c>
      <c r="J191" s="8">
        <v>-153.58519999999999</v>
      </c>
      <c r="K191" t="s">
        <v>5</v>
      </c>
      <c r="L191" t="str">
        <f t="shared" si="2"/>
        <v>Needs TGH instructions</v>
      </c>
    </row>
    <row r="192" spans="1:12" x14ac:dyDescent="0.3">
      <c r="A192">
        <v>191</v>
      </c>
      <c r="B192">
        <v>123</v>
      </c>
      <c r="C192">
        <v>131</v>
      </c>
      <c r="D192" t="s">
        <v>52</v>
      </c>
      <c r="E192" t="s">
        <v>41</v>
      </c>
      <c r="F192" t="s">
        <v>49</v>
      </c>
      <c r="G192" t="s">
        <v>265</v>
      </c>
      <c r="H192" t="s">
        <v>64</v>
      </c>
      <c r="I192" t="str">
        <f>_xlfn.XLOOKUP(H192,Charge_Reference!A:A,Charge_Reference!B:B)</f>
        <v>Nail Trim</v>
      </c>
      <c r="J192" s="8">
        <v>153.2954</v>
      </c>
      <c r="K192" t="s">
        <v>5</v>
      </c>
      <c r="L192" t="str">
        <f t="shared" si="2"/>
        <v>No instructions needed</v>
      </c>
    </row>
    <row r="193" spans="1:12" x14ac:dyDescent="0.3">
      <c r="A193">
        <v>192</v>
      </c>
      <c r="B193">
        <v>64</v>
      </c>
      <c r="C193">
        <v>126</v>
      </c>
      <c r="D193" t="s">
        <v>185</v>
      </c>
      <c r="E193" t="s">
        <v>41</v>
      </c>
      <c r="F193" t="s">
        <v>87</v>
      </c>
      <c r="G193" t="s">
        <v>215</v>
      </c>
      <c r="H193" t="s">
        <v>51</v>
      </c>
      <c r="I193" t="str">
        <f>_xlfn.XLOOKUP(H193,Charge_Reference!A:A,Charge_Reference!B:B)</f>
        <v>Radiographs</v>
      </c>
      <c r="J193" s="8">
        <v>-230.411</v>
      </c>
      <c r="K193" t="s">
        <v>3</v>
      </c>
      <c r="L193" t="str">
        <f t="shared" si="2"/>
        <v>No instructions needed</v>
      </c>
    </row>
    <row r="194" spans="1:12" x14ac:dyDescent="0.3">
      <c r="A194">
        <v>193</v>
      </c>
      <c r="B194">
        <v>167</v>
      </c>
      <c r="C194">
        <v>82</v>
      </c>
      <c r="D194" t="s">
        <v>52</v>
      </c>
      <c r="E194" t="s">
        <v>29</v>
      </c>
      <c r="F194" t="s">
        <v>111</v>
      </c>
      <c r="G194" t="s">
        <v>266</v>
      </c>
      <c r="H194" t="s">
        <v>32</v>
      </c>
      <c r="I194" t="str">
        <f>_xlfn.XLOOKUP(H194,Charge_Reference!A:A,Charge_Reference!B:B)</f>
        <v>Surgery</v>
      </c>
      <c r="J194" s="8">
        <v>325.53809999999999</v>
      </c>
      <c r="K194" t="s">
        <v>3</v>
      </c>
      <c r="L194" t="str">
        <f t="shared" si="2"/>
        <v>Needs TGH instructions</v>
      </c>
    </row>
    <row r="195" spans="1:12" x14ac:dyDescent="0.3">
      <c r="A195">
        <v>194</v>
      </c>
      <c r="B195">
        <v>13</v>
      </c>
      <c r="C195">
        <v>75</v>
      </c>
      <c r="D195" t="s">
        <v>48</v>
      </c>
      <c r="E195" t="s">
        <v>41</v>
      </c>
      <c r="F195" t="s">
        <v>85</v>
      </c>
      <c r="G195" t="s">
        <v>267</v>
      </c>
      <c r="H195" t="s">
        <v>64</v>
      </c>
      <c r="I195" t="str">
        <f>_xlfn.XLOOKUP(H195,Charge_Reference!A:A,Charge_Reference!B:B)</f>
        <v>Nail Trim</v>
      </c>
      <c r="J195" s="8">
        <v>984.0616</v>
      </c>
      <c r="K195" t="s">
        <v>3</v>
      </c>
      <c r="L195" t="str">
        <f t="shared" ref="L195:L258" si="3">IF(I195 = "Surgery", "Needs TGH instructions", "No instructions needed")</f>
        <v>No instructions needed</v>
      </c>
    </row>
    <row r="196" spans="1:12" x14ac:dyDescent="0.3">
      <c r="A196">
        <v>195</v>
      </c>
      <c r="B196">
        <v>94</v>
      </c>
      <c r="C196">
        <v>106</v>
      </c>
      <c r="D196" t="s">
        <v>93</v>
      </c>
      <c r="E196" t="s">
        <v>41</v>
      </c>
      <c r="F196" t="s">
        <v>151</v>
      </c>
      <c r="G196" t="s">
        <v>223</v>
      </c>
      <c r="H196" t="s">
        <v>64</v>
      </c>
      <c r="I196" t="str">
        <f>_xlfn.XLOOKUP(H196,Charge_Reference!A:A,Charge_Reference!B:B)</f>
        <v>Nail Trim</v>
      </c>
      <c r="J196" s="8">
        <v>722.30449999999996</v>
      </c>
      <c r="K196" t="s">
        <v>3</v>
      </c>
      <c r="L196" t="str">
        <f t="shared" si="3"/>
        <v>No instructions needed</v>
      </c>
    </row>
    <row r="197" spans="1:12" x14ac:dyDescent="0.3">
      <c r="A197">
        <v>196</v>
      </c>
      <c r="B197">
        <v>50</v>
      </c>
      <c r="C197">
        <v>10</v>
      </c>
      <c r="D197" t="s">
        <v>60</v>
      </c>
      <c r="E197" t="s">
        <v>29</v>
      </c>
      <c r="F197" t="s">
        <v>145</v>
      </c>
      <c r="G197" t="s">
        <v>168</v>
      </c>
      <c r="H197" t="s">
        <v>40</v>
      </c>
      <c r="I197" t="str">
        <f>_xlfn.XLOOKUP(H197,Charge_Reference!A:A,Charge_Reference!B:B)</f>
        <v>Annual Bloodwork</v>
      </c>
      <c r="J197" s="8">
        <v>171.8546</v>
      </c>
      <c r="K197" t="s">
        <v>7</v>
      </c>
      <c r="L197" t="str">
        <f t="shared" si="3"/>
        <v>No instructions needed</v>
      </c>
    </row>
    <row r="198" spans="1:12" x14ac:dyDescent="0.3">
      <c r="A198">
        <v>197</v>
      </c>
      <c r="B198">
        <v>13</v>
      </c>
      <c r="C198">
        <v>51</v>
      </c>
      <c r="D198" t="s">
        <v>60</v>
      </c>
      <c r="E198" t="s">
        <v>29</v>
      </c>
      <c r="F198" t="s">
        <v>71</v>
      </c>
      <c r="G198" t="s">
        <v>268</v>
      </c>
      <c r="H198" t="s">
        <v>59</v>
      </c>
      <c r="I198" t="str">
        <f>_xlfn.XLOOKUP(H198,Charge_Reference!A:A,Charge_Reference!B:B)</f>
        <v>Office Visit</v>
      </c>
      <c r="J198" s="8">
        <v>-174.1713</v>
      </c>
      <c r="K198" t="s">
        <v>7</v>
      </c>
      <c r="L198" t="str">
        <f t="shared" si="3"/>
        <v>No instructions needed</v>
      </c>
    </row>
    <row r="199" spans="1:12" x14ac:dyDescent="0.3">
      <c r="A199">
        <v>198</v>
      </c>
      <c r="B199">
        <v>162</v>
      </c>
      <c r="C199">
        <v>143</v>
      </c>
      <c r="D199" t="s">
        <v>142</v>
      </c>
      <c r="E199" t="s">
        <v>41</v>
      </c>
      <c r="F199" t="s">
        <v>160</v>
      </c>
      <c r="G199" t="s">
        <v>100</v>
      </c>
      <c r="H199" t="s">
        <v>55</v>
      </c>
      <c r="I199" t="str">
        <f>_xlfn.XLOOKUP(H199,Charge_Reference!A:A,Charge_Reference!B:B)</f>
        <v>Vaccination</v>
      </c>
      <c r="J199" s="8">
        <v>169.9494</v>
      </c>
      <c r="K199" t="s">
        <v>5</v>
      </c>
      <c r="L199" t="str">
        <f t="shared" si="3"/>
        <v>No instructions needed</v>
      </c>
    </row>
    <row r="200" spans="1:12" x14ac:dyDescent="0.3">
      <c r="A200">
        <v>199</v>
      </c>
      <c r="B200">
        <v>115</v>
      </c>
      <c r="C200">
        <v>114</v>
      </c>
      <c r="D200" t="s">
        <v>28</v>
      </c>
      <c r="E200" t="s">
        <v>29</v>
      </c>
      <c r="F200" t="s">
        <v>104</v>
      </c>
      <c r="G200" t="s">
        <v>255</v>
      </c>
      <c r="H200" t="s">
        <v>40</v>
      </c>
      <c r="I200" t="str">
        <f>_xlfn.XLOOKUP(H200,Charge_Reference!A:A,Charge_Reference!B:B)</f>
        <v>Annual Bloodwork</v>
      </c>
      <c r="J200" s="8">
        <v>-243.72909999999999</v>
      </c>
      <c r="K200" t="s">
        <v>5</v>
      </c>
      <c r="L200" t="str">
        <f t="shared" si="3"/>
        <v>No instructions needed</v>
      </c>
    </row>
    <row r="201" spans="1:12" x14ac:dyDescent="0.3">
      <c r="A201">
        <v>200</v>
      </c>
      <c r="B201">
        <v>1</v>
      </c>
      <c r="C201">
        <v>99</v>
      </c>
      <c r="D201" t="s">
        <v>33</v>
      </c>
      <c r="E201" t="s">
        <v>29</v>
      </c>
      <c r="F201" t="s">
        <v>85</v>
      </c>
      <c r="G201" t="s">
        <v>269</v>
      </c>
      <c r="H201" t="s">
        <v>59</v>
      </c>
      <c r="I201" t="str">
        <f>_xlfn.XLOOKUP(H201,Charge_Reference!A:A,Charge_Reference!B:B)</f>
        <v>Office Visit</v>
      </c>
      <c r="J201" s="8">
        <v>-255.8347</v>
      </c>
      <c r="K201" t="s">
        <v>5</v>
      </c>
      <c r="L201" t="str">
        <f t="shared" si="3"/>
        <v>No instructions needed</v>
      </c>
    </row>
    <row r="202" spans="1:12" x14ac:dyDescent="0.3">
      <c r="A202">
        <v>201</v>
      </c>
      <c r="B202">
        <v>89</v>
      </c>
      <c r="C202">
        <v>76</v>
      </c>
      <c r="D202" t="s">
        <v>142</v>
      </c>
      <c r="E202" t="s">
        <v>29</v>
      </c>
      <c r="F202" t="s">
        <v>53</v>
      </c>
      <c r="G202" t="s">
        <v>270</v>
      </c>
      <c r="H202" t="s">
        <v>32</v>
      </c>
      <c r="I202" t="str">
        <f>_xlfn.XLOOKUP(H202,Charge_Reference!A:A,Charge_Reference!B:B)</f>
        <v>Surgery</v>
      </c>
      <c r="J202" s="8">
        <v>384.59699999999998</v>
      </c>
      <c r="K202" t="s">
        <v>3</v>
      </c>
      <c r="L202" t="str">
        <f t="shared" si="3"/>
        <v>Needs TGH instructions</v>
      </c>
    </row>
    <row r="203" spans="1:12" x14ac:dyDescent="0.3">
      <c r="A203">
        <v>202</v>
      </c>
      <c r="B203">
        <v>76</v>
      </c>
      <c r="C203">
        <v>115</v>
      </c>
      <c r="D203" t="s">
        <v>130</v>
      </c>
      <c r="E203" t="s">
        <v>41</v>
      </c>
      <c r="F203" t="s">
        <v>42</v>
      </c>
      <c r="G203" t="s">
        <v>271</v>
      </c>
      <c r="H203" t="s">
        <v>36</v>
      </c>
      <c r="I203" t="str">
        <f>_xlfn.XLOOKUP(H203,Charge_Reference!A:A,Charge_Reference!B:B)</f>
        <v>Emergency Visit</v>
      </c>
      <c r="J203" s="8">
        <v>542.28710000000001</v>
      </c>
      <c r="K203" t="s">
        <v>3</v>
      </c>
      <c r="L203" t="str">
        <f t="shared" si="3"/>
        <v>No instructions needed</v>
      </c>
    </row>
    <row r="204" spans="1:12" x14ac:dyDescent="0.3">
      <c r="A204">
        <v>203</v>
      </c>
      <c r="B204">
        <v>112</v>
      </c>
      <c r="C204">
        <v>39</v>
      </c>
      <c r="D204" t="s">
        <v>149</v>
      </c>
      <c r="E204" t="s">
        <v>41</v>
      </c>
      <c r="F204" t="s">
        <v>87</v>
      </c>
      <c r="G204" t="s">
        <v>123</v>
      </c>
      <c r="H204" t="s">
        <v>51</v>
      </c>
      <c r="I204" t="str">
        <f>_xlfn.XLOOKUP(H204,Charge_Reference!A:A,Charge_Reference!B:B)</f>
        <v>Radiographs</v>
      </c>
      <c r="J204" s="8">
        <v>-253.0188</v>
      </c>
      <c r="K204" t="s">
        <v>5</v>
      </c>
      <c r="L204" t="str">
        <f t="shared" si="3"/>
        <v>No instructions needed</v>
      </c>
    </row>
    <row r="205" spans="1:12" x14ac:dyDescent="0.3">
      <c r="A205">
        <v>204</v>
      </c>
      <c r="B205">
        <v>173</v>
      </c>
      <c r="C205">
        <v>89</v>
      </c>
      <c r="D205" t="s">
        <v>214</v>
      </c>
      <c r="E205" t="s">
        <v>41</v>
      </c>
      <c r="F205" t="s">
        <v>116</v>
      </c>
      <c r="G205" t="s">
        <v>272</v>
      </c>
      <c r="H205" t="s">
        <v>59</v>
      </c>
      <c r="I205" t="str">
        <f>_xlfn.XLOOKUP(H205,Charge_Reference!A:A,Charge_Reference!B:B)</f>
        <v>Office Visit</v>
      </c>
      <c r="J205" s="8">
        <v>334.7047</v>
      </c>
      <c r="K205" t="s">
        <v>3</v>
      </c>
      <c r="L205" t="str">
        <f t="shared" si="3"/>
        <v>No instructions needed</v>
      </c>
    </row>
    <row r="206" spans="1:12" x14ac:dyDescent="0.3">
      <c r="A206">
        <v>205</v>
      </c>
      <c r="B206">
        <v>18</v>
      </c>
      <c r="C206">
        <v>2</v>
      </c>
      <c r="D206" t="s">
        <v>158</v>
      </c>
      <c r="E206" t="s">
        <v>29</v>
      </c>
      <c r="F206" t="s">
        <v>30</v>
      </c>
      <c r="G206" t="s">
        <v>273</v>
      </c>
      <c r="H206" t="s">
        <v>64</v>
      </c>
      <c r="I206" t="str">
        <f>_xlfn.XLOOKUP(H206,Charge_Reference!A:A,Charge_Reference!B:B)</f>
        <v>Nail Trim</v>
      </c>
      <c r="J206" s="8">
        <v>-167.03630000000001</v>
      </c>
      <c r="K206" t="s">
        <v>3</v>
      </c>
      <c r="L206" t="str">
        <f t="shared" si="3"/>
        <v>No instructions needed</v>
      </c>
    </row>
    <row r="207" spans="1:12" x14ac:dyDescent="0.3">
      <c r="A207">
        <v>206</v>
      </c>
      <c r="B207">
        <v>199</v>
      </c>
      <c r="C207">
        <v>8</v>
      </c>
      <c r="D207" t="s">
        <v>44</v>
      </c>
      <c r="E207" t="s">
        <v>29</v>
      </c>
      <c r="F207" t="s">
        <v>53</v>
      </c>
      <c r="G207" t="s">
        <v>129</v>
      </c>
      <c r="H207" t="s">
        <v>47</v>
      </c>
      <c r="I207" t="str">
        <f>_xlfn.XLOOKUP(H207,Charge_Reference!A:A,Charge_Reference!B:B)</f>
        <v>Dental Cleaning</v>
      </c>
      <c r="J207" s="8">
        <v>61.729500000000002</v>
      </c>
      <c r="K207" t="s">
        <v>7</v>
      </c>
      <c r="L207" t="str">
        <f t="shared" si="3"/>
        <v>No instructions needed</v>
      </c>
    </row>
    <row r="208" spans="1:12" x14ac:dyDescent="0.3">
      <c r="A208">
        <v>207</v>
      </c>
      <c r="B208">
        <v>112</v>
      </c>
      <c r="C208">
        <v>139</v>
      </c>
      <c r="D208" t="s">
        <v>37</v>
      </c>
      <c r="E208" t="s">
        <v>29</v>
      </c>
      <c r="F208" t="s">
        <v>66</v>
      </c>
      <c r="G208" t="s">
        <v>274</v>
      </c>
      <c r="H208" t="s">
        <v>55</v>
      </c>
      <c r="I208" t="str">
        <f>_xlfn.XLOOKUP(H208,Charge_Reference!A:A,Charge_Reference!B:B)</f>
        <v>Vaccination</v>
      </c>
      <c r="J208" s="8">
        <v>971.60230000000001</v>
      </c>
      <c r="K208" t="s">
        <v>5</v>
      </c>
      <c r="L208" t="str">
        <f t="shared" si="3"/>
        <v>No instructions needed</v>
      </c>
    </row>
    <row r="209" spans="1:12" x14ac:dyDescent="0.3">
      <c r="A209">
        <v>208</v>
      </c>
      <c r="B209">
        <v>39</v>
      </c>
      <c r="C209">
        <v>3</v>
      </c>
      <c r="D209" t="s">
        <v>217</v>
      </c>
      <c r="E209" t="s">
        <v>41</v>
      </c>
      <c r="F209" t="s">
        <v>71</v>
      </c>
      <c r="G209" t="s">
        <v>275</v>
      </c>
      <c r="H209" t="s">
        <v>64</v>
      </c>
      <c r="I209" t="str">
        <f>_xlfn.XLOOKUP(H209,Charge_Reference!A:A,Charge_Reference!B:B)</f>
        <v>Nail Trim</v>
      </c>
      <c r="J209" s="8">
        <v>302.50189999999998</v>
      </c>
      <c r="K209" t="s">
        <v>5</v>
      </c>
      <c r="L209" t="str">
        <f t="shared" si="3"/>
        <v>No instructions needed</v>
      </c>
    </row>
    <row r="210" spans="1:12" x14ac:dyDescent="0.3">
      <c r="A210">
        <v>209</v>
      </c>
      <c r="B210">
        <v>176</v>
      </c>
      <c r="C210">
        <v>68</v>
      </c>
      <c r="D210" t="s">
        <v>52</v>
      </c>
      <c r="E210" t="s">
        <v>29</v>
      </c>
      <c r="F210" t="s">
        <v>145</v>
      </c>
      <c r="G210" t="s">
        <v>276</v>
      </c>
      <c r="H210" t="s">
        <v>59</v>
      </c>
      <c r="I210" t="str">
        <f>_xlfn.XLOOKUP(H210,Charge_Reference!A:A,Charge_Reference!B:B)</f>
        <v>Office Visit</v>
      </c>
      <c r="J210" s="8">
        <v>108.2809</v>
      </c>
      <c r="K210" t="s">
        <v>3</v>
      </c>
      <c r="L210" t="str">
        <f t="shared" si="3"/>
        <v>No instructions needed</v>
      </c>
    </row>
    <row r="211" spans="1:12" x14ac:dyDescent="0.3">
      <c r="A211">
        <v>210</v>
      </c>
      <c r="B211">
        <v>179</v>
      </c>
      <c r="C211">
        <v>99</v>
      </c>
      <c r="D211" t="s">
        <v>113</v>
      </c>
      <c r="E211" t="s">
        <v>41</v>
      </c>
      <c r="F211" t="s">
        <v>171</v>
      </c>
      <c r="G211" t="s">
        <v>277</v>
      </c>
      <c r="H211" t="s">
        <v>32</v>
      </c>
      <c r="I211" t="str">
        <f>_xlfn.XLOOKUP(H211,Charge_Reference!A:A,Charge_Reference!B:B)</f>
        <v>Surgery</v>
      </c>
      <c r="J211" s="8">
        <v>836.74210000000005</v>
      </c>
      <c r="K211" t="s">
        <v>5</v>
      </c>
      <c r="L211" t="str">
        <f t="shared" si="3"/>
        <v>Needs TGH instructions</v>
      </c>
    </row>
    <row r="212" spans="1:12" x14ac:dyDescent="0.3">
      <c r="A212">
        <v>211</v>
      </c>
      <c r="B212">
        <v>88</v>
      </c>
      <c r="C212">
        <v>124</v>
      </c>
      <c r="D212" t="s">
        <v>78</v>
      </c>
      <c r="E212" t="s">
        <v>29</v>
      </c>
      <c r="F212" t="s">
        <v>151</v>
      </c>
      <c r="G212" t="s">
        <v>278</v>
      </c>
      <c r="H212" t="s">
        <v>36</v>
      </c>
      <c r="I212" t="str">
        <f>_xlfn.XLOOKUP(H212,Charge_Reference!A:A,Charge_Reference!B:B)</f>
        <v>Emergency Visit</v>
      </c>
      <c r="J212" s="8">
        <v>790.63319999999999</v>
      </c>
      <c r="K212" t="s">
        <v>5</v>
      </c>
      <c r="L212" t="str">
        <f t="shared" si="3"/>
        <v>No instructions needed</v>
      </c>
    </row>
    <row r="213" spans="1:12" x14ac:dyDescent="0.3">
      <c r="A213">
        <v>212</v>
      </c>
      <c r="B213">
        <v>124</v>
      </c>
      <c r="C213">
        <v>98</v>
      </c>
      <c r="D213" t="s">
        <v>81</v>
      </c>
      <c r="E213" t="s">
        <v>29</v>
      </c>
      <c r="F213" t="s">
        <v>104</v>
      </c>
      <c r="G213" t="s">
        <v>177</v>
      </c>
      <c r="H213" t="s">
        <v>64</v>
      </c>
      <c r="I213" t="str">
        <f>_xlfn.XLOOKUP(H213,Charge_Reference!A:A,Charge_Reference!B:B)</f>
        <v>Nail Trim</v>
      </c>
      <c r="J213" s="8">
        <v>-105.5304</v>
      </c>
      <c r="K213" t="s">
        <v>5</v>
      </c>
      <c r="L213" t="str">
        <f t="shared" si="3"/>
        <v>No instructions needed</v>
      </c>
    </row>
    <row r="214" spans="1:12" x14ac:dyDescent="0.3">
      <c r="A214">
        <v>213</v>
      </c>
      <c r="B214">
        <v>68</v>
      </c>
      <c r="C214">
        <v>24</v>
      </c>
      <c r="D214" t="s">
        <v>89</v>
      </c>
      <c r="E214" t="s">
        <v>41</v>
      </c>
      <c r="F214" t="s">
        <v>38</v>
      </c>
      <c r="G214" t="s">
        <v>279</v>
      </c>
      <c r="H214" t="s">
        <v>40</v>
      </c>
      <c r="I214" t="str">
        <f>_xlfn.XLOOKUP(H214,Charge_Reference!A:A,Charge_Reference!B:B)</f>
        <v>Annual Bloodwork</v>
      </c>
      <c r="J214" s="8">
        <v>23.4892</v>
      </c>
      <c r="K214" t="s">
        <v>3</v>
      </c>
      <c r="L214" t="str">
        <f t="shared" si="3"/>
        <v>No instructions needed</v>
      </c>
    </row>
    <row r="215" spans="1:12" x14ac:dyDescent="0.3">
      <c r="A215">
        <v>214</v>
      </c>
      <c r="B215">
        <v>163</v>
      </c>
      <c r="C215">
        <v>132</v>
      </c>
      <c r="D215" t="s">
        <v>142</v>
      </c>
      <c r="E215" t="s">
        <v>29</v>
      </c>
      <c r="F215" t="s">
        <v>171</v>
      </c>
      <c r="G215" t="s">
        <v>280</v>
      </c>
      <c r="H215" t="s">
        <v>36</v>
      </c>
      <c r="I215" t="str">
        <f>_xlfn.XLOOKUP(H215,Charge_Reference!A:A,Charge_Reference!B:B)</f>
        <v>Emergency Visit</v>
      </c>
      <c r="J215" s="8">
        <v>-9.1983999999999995</v>
      </c>
      <c r="K215" t="s">
        <v>3</v>
      </c>
      <c r="L215" t="str">
        <f t="shared" si="3"/>
        <v>No instructions needed</v>
      </c>
    </row>
    <row r="216" spans="1:12" x14ac:dyDescent="0.3">
      <c r="A216">
        <v>215</v>
      </c>
      <c r="B216">
        <v>4</v>
      </c>
      <c r="C216">
        <v>150</v>
      </c>
      <c r="D216" t="s">
        <v>81</v>
      </c>
      <c r="E216" t="s">
        <v>41</v>
      </c>
      <c r="F216" t="s">
        <v>73</v>
      </c>
      <c r="G216" t="s">
        <v>281</v>
      </c>
      <c r="H216" t="s">
        <v>40</v>
      </c>
      <c r="I216" t="str">
        <f>_xlfn.XLOOKUP(H216,Charge_Reference!A:A,Charge_Reference!B:B)</f>
        <v>Annual Bloodwork</v>
      </c>
      <c r="J216" s="8">
        <v>-157.8407</v>
      </c>
      <c r="K216" t="s">
        <v>5</v>
      </c>
      <c r="L216" t="str">
        <f t="shared" si="3"/>
        <v>No instructions needed</v>
      </c>
    </row>
    <row r="217" spans="1:12" x14ac:dyDescent="0.3">
      <c r="A217">
        <v>216</v>
      </c>
      <c r="B217">
        <v>155</v>
      </c>
      <c r="C217">
        <v>15</v>
      </c>
      <c r="D217" t="s">
        <v>194</v>
      </c>
      <c r="E217" t="s">
        <v>29</v>
      </c>
      <c r="F217" t="s">
        <v>135</v>
      </c>
      <c r="G217" t="s">
        <v>39</v>
      </c>
      <c r="H217" t="s">
        <v>36</v>
      </c>
      <c r="I217" t="str">
        <f>_xlfn.XLOOKUP(H217,Charge_Reference!A:A,Charge_Reference!B:B)</f>
        <v>Emergency Visit</v>
      </c>
      <c r="J217" s="8">
        <v>91.898099999999999</v>
      </c>
      <c r="K217" t="s">
        <v>5</v>
      </c>
      <c r="L217" t="str">
        <f t="shared" si="3"/>
        <v>No instructions needed</v>
      </c>
    </row>
    <row r="218" spans="1:12" x14ac:dyDescent="0.3">
      <c r="A218">
        <v>217</v>
      </c>
      <c r="B218">
        <v>48</v>
      </c>
      <c r="C218">
        <v>92</v>
      </c>
      <c r="D218" t="s">
        <v>162</v>
      </c>
      <c r="E218" t="s">
        <v>29</v>
      </c>
      <c r="F218" t="s">
        <v>145</v>
      </c>
      <c r="G218" t="s">
        <v>225</v>
      </c>
      <c r="H218" t="s">
        <v>51</v>
      </c>
      <c r="I218" t="str">
        <f>_xlfn.XLOOKUP(H218,Charge_Reference!A:A,Charge_Reference!B:B)</f>
        <v>Radiographs</v>
      </c>
      <c r="J218" s="8">
        <v>526.75620000000004</v>
      </c>
      <c r="K218" t="s">
        <v>5</v>
      </c>
      <c r="L218" t="str">
        <f t="shared" si="3"/>
        <v>No instructions needed</v>
      </c>
    </row>
    <row r="219" spans="1:12" x14ac:dyDescent="0.3">
      <c r="A219">
        <v>218</v>
      </c>
      <c r="B219">
        <v>27</v>
      </c>
      <c r="C219">
        <v>83</v>
      </c>
      <c r="D219" t="s">
        <v>158</v>
      </c>
      <c r="E219" t="s">
        <v>29</v>
      </c>
      <c r="F219" t="s">
        <v>82</v>
      </c>
      <c r="G219" t="s">
        <v>282</v>
      </c>
      <c r="H219" t="s">
        <v>55</v>
      </c>
      <c r="I219" t="str">
        <f>_xlfn.XLOOKUP(H219,Charge_Reference!A:A,Charge_Reference!B:B)</f>
        <v>Vaccination</v>
      </c>
      <c r="J219" s="8">
        <v>548.65170000000001</v>
      </c>
      <c r="K219" t="s">
        <v>5</v>
      </c>
      <c r="L219" t="str">
        <f t="shared" si="3"/>
        <v>No instructions needed</v>
      </c>
    </row>
    <row r="220" spans="1:12" x14ac:dyDescent="0.3">
      <c r="A220">
        <v>219</v>
      </c>
      <c r="B220">
        <v>14</v>
      </c>
      <c r="C220">
        <v>80</v>
      </c>
      <c r="D220" t="s">
        <v>70</v>
      </c>
      <c r="E220" t="s">
        <v>41</v>
      </c>
      <c r="F220" t="s">
        <v>104</v>
      </c>
      <c r="G220" t="s">
        <v>283</v>
      </c>
      <c r="H220" t="s">
        <v>59</v>
      </c>
      <c r="I220" t="str">
        <f>_xlfn.XLOOKUP(H220,Charge_Reference!A:A,Charge_Reference!B:B)</f>
        <v>Office Visit</v>
      </c>
      <c r="J220" s="8">
        <v>588.49030000000005</v>
      </c>
      <c r="K220" t="s">
        <v>5</v>
      </c>
      <c r="L220" t="str">
        <f t="shared" si="3"/>
        <v>No instructions needed</v>
      </c>
    </row>
    <row r="221" spans="1:12" x14ac:dyDescent="0.3">
      <c r="A221">
        <v>220</v>
      </c>
      <c r="B221">
        <v>171</v>
      </c>
      <c r="C221">
        <v>66</v>
      </c>
      <c r="D221" t="s">
        <v>230</v>
      </c>
      <c r="E221" t="s">
        <v>29</v>
      </c>
      <c r="F221" t="s">
        <v>151</v>
      </c>
      <c r="G221" t="s">
        <v>284</v>
      </c>
      <c r="H221" t="s">
        <v>40</v>
      </c>
      <c r="I221" t="str">
        <f>_xlfn.XLOOKUP(H221,Charge_Reference!A:A,Charge_Reference!B:B)</f>
        <v>Annual Bloodwork</v>
      </c>
      <c r="J221" s="8">
        <v>378.3211</v>
      </c>
      <c r="K221" t="s">
        <v>7</v>
      </c>
      <c r="L221" t="str">
        <f t="shared" si="3"/>
        <v>No instructions needed</v>
      </c>
    </row>
    <row r="222" spans="1:12" x14ac:dyDescent="0.3">
      <c r="A222">
        <v>221</v>
      </c>
      <c r="B222">
        <v>158</v>
      </c>
      <c r="C222">
        <v>83</v>
      </c>
      <c r="D222" t="s">
        <v>99</v>
      </c>
      <c r="E222" t="s">
        <v>29</v>
      </c>
      <c r="F222" t="s">
        <v>104</v>
      </c>
      <c r="G222" t="s">
        <v>206</v>
      </c>
      <c r="H222" t="s">
        <v>32</v>
      </c>
      <c r="I222" t="str">
        <f>_xlfn.XLOOKUP(H222,Charge_Reference!A:A,Charge_Reference!B:B)</f>
        <v>Surgery</v>
      </c>
      <c r="J222" s="8">
        <v>314.40159999999997</v>
      </c>
      <c r="K222" t="s">
        <v>5</v>
      </c>
      <c r="L222" t="str">
        <f t="shared" si="3"/>
        <v>Needs TGH instructions</v>
      </c>
    </row>
    <row r="223" spans="1:12" x14ac:dyDescent="0.3">
      <c r="A223">
        <v>222</v>
      </c>
      <c r="B223">
        <v>150</v>
      </c>
      <c r="C223">
        <v>128</v>
      </c>
      <c r="D223" t="s">
        <v>91</v>
      </c>
      <c r="E223" t="s">
        <v>29</v>
      </c>
      <c r="F223" t="s">
        <v>57</v>
      </c>
      <c r="G223" t="s">
        <v>285</v>
      </c>
      <c r="H223" t="s">
        <v>51</v>
      </c>
      <c r="I223" t="str">
        <f>_xlfn.XLOOKUP(H223,Charge_Reference!A:A,Charge_Reference!B:B)</f>
        <v>Radiographs</v>
      </c>
      <c r="J223" s="8">
        <v>626.16200000000003</v>
      </c>
      <c r="K223" t="s">
        <v>7</v>
      </c>
      <c r="L223" t="str">
        <f t="shared" si="3"/>
        <v>No instructions needed</v>
      </c>
    </row>
    <row r="224" spans="1:12" x14ac:dyDescent="0.3">
      <c r="A224">
        <v>223</v>
      </c>
      <c r="B224">
        <v>112</v>
      </c>
      <c r="C224">
        <v>135</v>
      </c>
      <c r="D224" t="s">
        <v>197</v>
      </c>
      <c r="E224" t="s">
        <v>41</v>
      </c>
      <c r="F224" t="s">
        <v>73</v>
      </c>
      <c r="G224" t="s">
        <v>286</v>
      </c>
      <c r="H224" t="s">
        <v>59</v>
      </c>
      <c r="I224" t="str">
        <f>_xlfn.XLOOKUP(H224,Charge_Reference!A:A,Charge_Reference!B:B)</f>
        <v>Office Visit</v>
      </c>
      <c r="J224" s="8">
        <v>-227.3981</v>
      </c>
      <c r="K224" t="s">
        <v>3</v>
      </c>
      <c r="L224" t="str">
        <f t="shared" si="3"/>
        <v>No instructions needed</v>
      </c>
    </row>
    <row r="225" spans="1:12" x14ac:dyDescent="0.3">
      <c r="A225">
        <v>224</v>
      </c>
      <c r="B225">
        <v>14</v>
      </c>
      <c r="C225">
        <v>83</v>
      </c>
      <c r="D225" t="s">
        <v>149</v>
      </c>
      <c r="E225" t="s">
        <v>41</v>
      </c>
      <c r="F225" t="s">
        <v>82</v>
      </c>
      <c r="G225" t="s">
        <v>287</v>
      </c>
      <c r="H225" t="s">
        <v>36</v>
      </c>
      <c r="I225" t="str">
        <f>_xlfn.XLOOKUP(H225,Charge_Reference!A:A,Charge_Reference!B:B)</f>
        <v>Emergency Visit</v>
      </c>
      <c r="J225" s="8">
        <v>-5.4984999999999999</v>
      </c>
      <c r="K225" t="s">
        <v>7</v>
      </c>
      <c r="L225" t="str">
        <f t="shared" si="3"/>
        <v>No instructions needed</v>
      </c>
    </row>
    <row r="226" spans="1:12" x14ac:dyDescent="0.3">
      <c r="A226">
        <v>225</v>
      </c>
      <c r="B226">
        <v>132</v>
      </c>
      <c r="C226">
        <v>76</v>
      </c>
      <c r="D226" t="s">
        <v>52</v>
      </c>
      <c r="E226" t="s">
        <v>41</v>
      </c>
      <c r="F226" t="s">
        <v>102</v>
      </c>
      <c r="G226" t="s">
        <v>136</v>
      </c>
      <c r="H226" t="s">
        <v>64</v>
      </c>
      <c r="I226" t="str">
        <f>_xlfn.XLOOKUP(H226,Charge_Reference!A:A,Charge_Reference!B:B)</f>
        <v>Nail Trim</v>
      </c>
      <c r="J226" s="8">
        <v>459.96199999999999</v>
      </c>
      <c r="K226" t="s">
        <v>5</v>
      </c>
      <c r="L226" t="str">
        <f t="shared" si="3"/>
        <v>No instructions needed</v>
      </c>
    </row>
    <row r="227" spans="1:12" x14ac:dyDescent="0.3">
      <c r="A227">
        <v>226</v>
      </c>
      <c r="B227">
        <v>80</v>
      </c>
      <c r="C227">
        <v>138</v>
      </c>
      <c r="D227" t="s">
        <v>130</v>
      </c>
      <c r="E227" t="s">
        <v>41</v>
      </c>
      <c r="F227" t="s">
        <v>30</v>
      </c>
      <c r="G227" t="s">
        <v>288</v>
      </c>
      <c r="H227" t="s">
        <v>32</v>
      </c>
      <c r="I227" t="str">
        <f>_xlfn.XLOOKUP(H227,Charge_Reference!A:A,Charge_Reference!B:B)</f>
        <v>Surgery</v>
      </c>
      <c r="J227" s="8">
        <v>986.57500000000005</v>
      </c>
      <c r="K227" t="s">
        <v>5</v>
      </c>
      <c r="L227" t="str">
        <f t="shared" si="3"/>
        <v>Needs TGH instructions</v>
      </c>
    </row>
    <row r="228" spans="1:12" x14ac:dyDescent="0.3">
      <c r="A228">
        <v>227</v>
      </c>
      <c r="B228">
        <v>158</v>
      </c>
      <c r="C228">
        <v>83</v>
      </c>
      <c r="D228" t="s">
        <v>120</v>
      </c>
      <c r="E228" t="s">
        <v>29</v>
      </c>
      <c r="F228" t="s">
        <v>145</v>
      </c>
      <c r="G228" t="s">
        <v>278</v>
      </c>
      <c r="H228" t="s">
        <v>47</v>
      </c>
      <c r="I228" t="str">
        <f>_xlfn.XLOOKUP(H228,Charge_Reference!A:A,Charge_Reference!B:B)</f>
        <v>Dental Cleaning</v>
      </c>
      <c r="J228" s="8">
        <v>287.66730000000001</v>
      </c>
      <c r="K228" t="s">
        <v>5</v>
      </c>
      <c r="L228" t="str">
        <f t="shared" si="3"/>
        <v>No instructions needed</v>
      </c>
    </row>
    <row r="229" spans="1:12" x14ac:dyDescent="0.3">
      <c r="A229">
        <v>228</v>
      </c>
      <c r="B229">
        <v>162</v>
      </c>
      <c r="C229">
        <v>45</v>
      </c>
      <c r="D229" t="s">
        <v>142</v>
      </c>
      <c r="E229" t="s">
        <v>29</v>
      </c>
      <c r="F229" t="s">
        <v>87</v>
      </c>
      <c r="G229" t="s">
        <v>289</v>
      </c>
      <c r="H229" t="s">
        <v>64</v>
      </c>
      <c r="I229" t="str">
        <f>_xlfn.XLOOKUP(H229,Charge_Reference!A:A,Charge_Reference!B:B)</f>
        <v>Nail Trim</v>
      </c>
      <c r="J229" s="8">
        <v>-141.47989999999999</v>
      </c>
      <c r="K229" t="s">
        <v>5</v>
      </c>
      <c r="L229" t="str">
        <f t="shared" si="3"/>
        <v>No instructions needed</v>
      </c>
    </row>
    <row r="230" spans="1:12" x14ac:dyDescent="0.3">
      <c r="A230">
        <v>229</v>
      </c>
      <c r="B230">
        <v>164</v>
      </c>
      <c r="C230">
        <v>97</v>
      </c>
      <c r="D230" t="s">
        <v>89</v>
      </c>
      <c r="E230" t="s">
        <v>29</v>
      </c>
      <c r="F230" t="s">
        <v>61</v>
      </c>
      <c r="G230" t="s">
        <v>39</v>
      </c>
      <c r="H230" t="s">
        <v>59</v>
      </c>
      <c r="I230" t="str">
        <f>_xlfn.XLOOKUP(H230,Charge_Reference!A:A,Charge_Reference!B:B)</f>
        <v>Office Visit</v>
      </c>
      <c r="J230" s="8">
        <v>930.03089999999997</v>
      </c>
      <c r="K230" t="s">
        <v>5</v>
      </c>
      <c r="L230" t="str">
        <f t="shared" si="3"/>
        <v>No instructions needed</v>
      </c>
    </row>
    <row r="231" spans="1:12" x14ac:dyDescent="0.3">
      <c r="A231">
        <v>230</v>
      </c>
      <c r="B231">
        <v>24</v>
      </c>
      <c r="C231">
        <v>6</v>
      </c>
      <c r="D231" t="s">
        <v>120</v>
      </c>
      <c r="E231" t="s">
        <v>41</v>
      </c>
      <c r="F231" t="s">
        <v>49</v>
      </c>
      <c r="G231" t="s">
        <v>290</v>
      </c>
      <c r="H231" t="s">
        <v>32</v>
      </c>
      <c r="I231" t="str">
        <f>_xlfn.XLOOKUP(H231,Charge_Reference!A:A,Charge_Reference!B:B)</f>
        <v>Surgery</v>
      </c>
      <c r="J231" s="8">
        <v>932.0027</v>
      </c>
      <c r="K231" t="s">
        <v>5</v>
      </c>
      <c r="L231" t="str">
        <f t="shared" si="3"/>
        <v>Needs TGH instructions</v>
      </c>
    </row>
    <row r="232" spans="1:12" x14ac:dyDescent="0.3">
      <c r="A232">
        <v>231</v>
      </c>
      <c r="B232">
        <v>169</v>
      </c>
      <c r="C232">
        <v>53</v>
      </c>
      <c r="D232" t="s">
        <v>60</v>
      </c>
      <c r="E232" t="s">
        <v>29</v>
      </c>
      <c r="F232" t="s">
        <v>160</v>
      </c>
      <c r="G232" t="s">
        <v>239</v>
      </c>
      <c r="H232" t="s">
        <v>47</v>
      </c>
      <c r="I232" t="str">
        <f>_xlfn.XLOOKUP(H232,Charge_Reference!A:A,Charge_Reference!B:B)</f>
        <v>Dental Cleaning</v>
      </c>
      <c r="J232" s="8">
        <v>691.3075</v>
      </c>
      <c r="K232" t="s">
        <v>5</v>
      </c>
      <c r="L232" t="str">
        <f t="shared" si="3"/>
        <v>No instructions needed</v>
      </c>
    </row>
    <row r="233" spans="1:12" x14ac:dyDescent="0.3">
      <c r="A233">
        <v>232</v>
      </c>
      <c r="B233">
        <v>71</v>
      </c>
      <c r="C233">
        <v>72</v>
      </c>
      <c r="D233" t="s">
        <v>70</v>
      </c>
      <c r="E233" t="s">
        <v>41</v>
      </c>
      <c r="F233" t="s">
        <v>30</v>
      </c>
      <c r="G233" t="s">
        <v>291</v>
      </c>
      <c r="H233" t="s">
        <v>36</v>
      </c>
      <c r="I233" t="str">
        <f>_xlfn.XLOOKUP(H233,Charge_Reference!A:A,Charge_Reference!B:B)</f>
        <v>Emergency Visit</v>
      </c>
      <c r="J233" s="8">
        <v>473.59789999999998</v>
      </c>
      <c r="K233" t="s">
        <v>7</v>
      </c>
      <c r="L233" t="str">
        <f t="shared" si="3"/>
        <v>No instructions needed</v>
      </c>
    </row>
    <row r="234" spans="1:12" x14ac:dyDescent="0.3">
      <c r="A234">
        <v>233</v>
      </c>
      <c r="B234">
        <v>146</v>
      </c>
      <c r="C234">
        <v>85</v>
      </c>
      <c r="D234" t="s">
        <v>109</v>
      </c>
      <c r="E234" t="s">
        <v>41</v>
      </c>
      <c r="F234" t="s">
        <v>118</v>
      </c>
      <c r="G234" t="s">
        <v>222</v>
      </c>
      <c r="H234" t="s">
        <v>51</v>
      </c>
      <c r="I234" t="str">
        <f>_xlfn.XLOOKUP(H234,Charge_Reference!A:A,Charge_Reference!B:B)</f>
        <v>Radiographs</v>
      </c>
      <c r="J234" s="8">
        <v>663.98209999999995</v>
      </c>
      <c r="K234" t="s">
        <v>3</v>
      </c>
      <c r="L234" t="str">
        <f t="shared" si="3"/>
        <v>No instructions needed</v>
      </c>
    </row>
    <row r="235" spans="1:12" x14ac:dyDescent="0.3">
      <c r="A235">
        <v>234</v>
      </c>
      <c r="B235">
        <v>155</v>
      </c>
      <c r="C235">
        <v>46</v>
      </c>
      <c r="D235" t="s">
        <v>115</v>
      </c>
      <c r="E235" t="s">
        <v>29</v>
      </c>
      <c r="F235" t="s">
        <v>118</v>
      </c>
      <c r="G235" t="s">
        <v>136</v>
      </c>
      <c r="H235" t="s">
        <v>47</v>
      </c>
      <c r="I235" t="str">
        <f>_xlfn.XLOOKUP(H235,Charge_Reference!A:A,Charge_Reference!B:B)</f>
        <v>Dental Cleaning</v>
      </c>
      <c r="J235" s="8">
        <v>-1.9833000000000001</v>
      </c>
      <c r="K235" t="s">
        <v>5</v>
      </c>
      <c r="L235" t="str">
        <f t="shared" si="3"/>
        <v>No instructions needed</v>
      </c>
    </row>
    <row r="236" spans="1:12" x14ac:dyDescent="0.3">
      <c r="A236">
        <v>235</v>
      </c>
      <c r="B236">
        <v>200</v>
      </c>
      <c r="C236">
        <v>129</v>
      </c>
      <c r="D236" t="s">
        <v>154</v>
      </c>
      <c r="E236" t="s">
        <v>41</v>
      </c>
      <c r="F236" t="s">
        <v>53</v>
      </c>
      <c r="G236" t="s">
        <v>67</v>
      </c>
      <c r="H236" t="s">
        <v>59</v>
      </c>
      <c r="I236" t="str">
        <f>_xlfn.XLOOKUP(H236,Charge_Reference!A:A,Charge_Reference!B:B)</f>
        <v>Office Visit</v>
      </c>
      <c r="J236" s="8">
        <v>666.29859999999996</v>
      </c>
      <c r="K236" t="s">
        <v>3</v>
      </c>
      <c r="L236" t="str">
        <f t="shared" si="3"/>
        <v>No instructions needed</v>
      </c>
    </row>
    <row r="237" spans="1:12" x14ac:dyDescent="0.3">
      <c r="A237">
        <v>236</v>
      </c>
      <c r="B237">
        <v>6</v>
      </c>
      <c r="C237">
        <v>48</v>
      </c>
      <c r="D237" t="s">
        <v>176</v>
      </c>
      <c r="E237" t="s">
        <v>41</v>
      </c>
      <c r="F237" t="s">
        <v>107</v>
      </c>
      <c r="G237" t="s">
        <v>292</v>
      </c>
      <c r="H237" t="s">
        <v>59</v>
      </c>
      <c r="I237" t="str">
        <f>_xlfn.XLOOKUP(H237,Charge_Reference!A:A,Charge_Reference!B:B)</f>
        <v>Office Visit</v>
      </c>
      <c r="J237" s="8">
        <v>235.96690000000001</v>
      </c>
      <c r="K237" t="s">
        <v>7</v>
      </c>
      <c r="L237" t="str">
        <f t="shared" si="3"/>
        <v>No instructions needed</v>
      </c>
    </row>
    <row r="238" spans="1:12" x14ac:dyDescent="0.3">
      <c r="A238">
        <v>237</v>
      </c>
      <c r="B238">
        <v>55</v>
      </c>
      <c r="C238">
        <v>10</v>
      </c>
      <c r="D238" t="s">
        <v>91</v>
      </c>
      <c r="E238" t="s">
        <v>29</v>
      </c>
      <c r="F238" t="s">
        <v>73</v>
      </c>
      <c r="G238" t="s">
        <v>173</v>
      </c>
      <c r="H238" t="s">
        <v>64</v>
      </c>
      <c r="I238" t="str">
        <f>_xlfn.XLOOKUP(H238,Charge_Reference!A:A,Charge_Reference!B:B)</f>
        <v>Nail Trim</v>
      </c>
      <c r="J238" s="8">
        <v>58.4985</v>
      </c>
      <c r="K238" t="s">
        <v>3</v>
      </c>
      <c r="L238" t="str">
        <f t="shared" si="3"/>
        <v>No instructions needed</v>
      </c>
    </row>
    <row r="239" spans="1:12" x14ac:dyDescent="0.3">
      <c r="A239">
        <v>238</v>
      </c>
      <c r="B239">
        <v>130</v>
      </c>
      <c r="C239">
        <v>134</v>
      </c>
      <c r="D239" t="s">
        <v>68</v>
      </c>
      <c r="E239" t="s">
        <v>29</v>
      </c>
      <c r="F239" t="s">
        <v>145</v>
      </c>
      <c r="G239" t="s">
        <v>72</v>
      </c>
      <c r="H239" t="s">
        <v>40</v>
      </c>
      <c r="I239" t="str">
        <f>_xlfn.XLOOKUP(H239,Charge_Reference!A:A,Charge_Reference!B:B)</f>
        <v>Annual Bloodwork</v>
      </c>
      <c r="J239" s="8">
        <v>368.49310000000003</v>
      </c>
      <c r="K239" t="s">
        <v>7</v>
      </c>
      <c r="L239" t="str">
        <f t="shared" si="3"/>
        <v>No instructions needed</v>
      </c>
    </row>
    <row r="240" spans="1:12" x14ac:dyDescent="0.3">
      <c r="A240">
        <v>239</v>
      </c>
      <c r="B240">
        <v>112</v>
      </c>
      <c r="C240">
        <v>57</v>
      </c>
      <c r="D240" t="s">
        <v>113</v>
      </c>
      <c r="E240" t="s">
        <v>29</v>
      </c>
      <c r="F240" t="s">
        <v>45</v>
      </c>
      <c r="G240" t="s">
        <v>221</v>
      </c>
      <c r="H240" t="s">
        <v>59</v>
      </c>
      <c r="I240" t="str">
        <f>_xlfn.XLOOKUP(H240,Charge_Reference!A:A,Charge_Reference!B:B)</f>
        <v>Office Visit</v>
      </c>
      <c r="J240" s="8">
        <v>301.93860000000001</v>
      </c>
      <c r="K240" t="s">
        <v>5</v>
      </c>
      <c r="L240" t="str">
        <f t="shared" si="3"/>
        <v>No instructions needed</v>
      </c>
    </row>
    <row r="241" spans="1:12" x14ac:dyDescent="0.3">
      <c r="A241">
        <v>240</v>
      </c>
      <c r="B241">
        <v>199</v>
      </c>
      <c r="C241">
        <v>144</v>
      </c>
      <c r="D241" t="s">
        <v>78</v>
      </c>
      <c r="E241" t="s">
        <v>41</v>
      </c>
      <c r="F241" t="s">
        <v>38</v>
      </c>
      <c r="G241" t="s">
        <v>293</v>
      </c>
      <c r="H241" t="s">
        <v>51</v>
      </c>
      <c r="I241" t="str">
        <f>_xlfn.XLOOKUP(H241,Charge_Reference!A:A,Charge_Reference!B:B)</f>
        <v>Radiographs</v>
      </c>
      <c r="J241" s="8">
        <v>604.56859999999995</v>
      </c>
      <c r="K241" t="s">
        <v>3</v>
      </c>
      <c r="L241" t="str">
        <f t="shared" si="3"/>
        <v>No instructions needed</v>
      </c>
    </row>
    <row r="242" spans="1:12" x14ac:dyDescent="0.3">
      <c r="A242">
        <v>241</v>
      </c>
      <c r="B242">
        <v>37</v>
      </c>
      <c r="C242">
        <v>23</v>
      </c>
      <c r="D242" t="s">
        <v>93</v>
      </c>
      <c r="E242" t="s">
        <v>41</v>
      </c>
      <c r="F242" t="s">
        <v>61</v>
      </c>
      <c r="G242" t="s">
        <v>271</v>
      </c>
      <c r="H242" t="s">
        <v>36</v>
      </c>
      <c r="I242" t="str">
        <f>_xlfn.XLOOKUP(H242,Charge_Reference!A:A,Charge_Reference!B:B)</f>
        <v>Emergency Visit</v>
      </c>
      <c r="J242" s="8">
        <v>706.2912</v>
      </c>
      <c r="K242" t="s">
        <v>3</v>
      </c>
      <c r="L242" t="str">
        <f t="shared" si="3"/>
        <v>No instructions needed</v>
      </c>
    </row>
    <row r="243" spans="1:12" x14ac:dyDescent="0.3">
      <c r="A243">
        <v>242</v>
      </c>
      <c r="B243">
        <v>92</v>
      </c>
      <c r="C243">
        <v>23</v>
      </c>
      <c r="D243" t="s">
        <v>84</v>
      </c>
      <c r="E243" t="s">
        <v>29</v>
      </c>
      <c r="F243" t="s">
        <v>71</v>
      </c>
      <c r="G243" t="s">
        <v>294</v>
      </c>
      <c r="H243" t="s">
        <v>47</v>
      </c>
      <c r="I243" t="str">
        <f>_xlfn.XLOOKUP(H243,Charge_Reference!A:A,Charge_Reference!B:B)</f>
        <v>Dental Cleaning</v>
      </c>
      <c r="J243" s="8">
        <v>989.38890000000004</v>
      </c>
      <c r="K243" t="s">
        <v>3</v>
      </c>
      <c r="L243" t="str">
        <f t="shared" si="3"/>
        <v>No instructions needed</v>
      </c>
    </row>
    <row r="244" spans="1:12" x14ac:dyDescent="0.3">
      <c r="A244">
        <v>243</v>
      </c>
      <c r="B244">
        <v>159</v>
      </c>
      <c r="C244">
        <v>108</v>
      </c>
      <c r="D244" t="s">
        <v>113</v>
      </c>
      <c r="E244" t="s">
        <v>29</v>
      </c>
      <c r="F244" t="s">
        <v>131</v>
      </c>
      <c r="G244" t="s">
        <v>295</v>
      </c>
      <c r="H244" t="s">
        <v>51</v>
      </c>
      <c r="I244" t="str">
        <f>_xlfn.XLOOKUP(H244,Charge_Reference!A:A,Charge_Reference!B:B)</f>
        <v>Radiographs</v>
      </c>
      <c r="J244" s="8">
        <v>402.7056</v>
      </c>
      <c r="K244" t="s">
        <v>3</v>
      </c>
      <c r="L244" t="str">
        <f t="shared" si="3"/>
        <v>No instructions needed</v>
      </c>
    </row>
    <row r="245" spans="1:12" x14ac:dyDescent="0.3">
      <c r="A245">
        <v>244</v>
      </c>
      <c r="B245">
        <v>89</v>
      </c>
      <c r="C245">
        <v>100</v>
      </c>
      <c r="D245" t="s">
        <v>176</v>
      </c>
      <c r="E245" t="s">
        <v>41</v>
      </c>
      <c r="F245" t="s">
        <v>102</v>
      </c>
      <c r="G245" t="s">
        <v>169</v>
      </c>
      <c r="H245" t="s">
        <v>51</v>
      </c>
      <c r="I245" t="str">
        <f>_xlfn.XLOOKUP(H245,Charge_Reference!A:A,Charge_Reference!B:B)</f>
        <v>Radiographs</v>
      </c>
      <c r="J245" s="8">
        <v>306.5258</v>
      </c>
      <c r="K245" t="s">
        <v>3</v>
      </c>
      <c r="L245" t="str">
        <f t="shared" si="3"/>
        <v>No instructions needed</v>
      </c>
    </row>
    <row r="246" spans="1:12" x14ac:dyDescent="0.3">
      <c r="A246">
        <v>245</v>
      </c>
      <c r="B246">
        <v>188</v>
      </c>
      <c r="C246">
        <v>88</v>
      </c>
      <c r="D246" t="s">
        <v>96</v>
      </c>
      <c r="E246" t="s">
        <v>29</v>
      </c>
      <c r="F246" t="s">
        <v>97</v>
      </c>
      <c r="G246" t="s">
        <v>296</v>
      </c>
      <c r="H246" t="s">
        <v>55</v>
      </c>
      <c r="I246" t="str">
        <f>_xlfn.XLOOKUP(H246,Charge_Reference!A:A,Charge_Reference!B:B)</f>
        <v>Vaccination</v>
      </c>
      <c r="J246" s="8">
        <v>494.36079999999998</v>
      </c>
      <c r="K246" t="s">
        <v>7</v>
      </c>
      <c r="L246" t="str">
        <f t="shared" si="3"/>
        <v>No instructions needed</v>
      </c>
    </row>
    <row r="247" spans="1:12" x14ac:dyDescent="0.3">
      <c r="A247">
        <v>246</v>
      </c>
      <c r="B247">
        <v>143</v>
      </c>
      <c r="C247">
        <v>79</v>
      </c>
      <c r="D247" t="s">
        <v>176</v>
      </c>
      <c r="E247" t="s">
        <v>29</v>
      </c>
      <c r="F247" t="s">
        <v>116</v>
      </c>
      <c r="G247" t="s">
        <v>167</v>
      </c>
      <c r="H247" t="s">
        <v>47</v>
      </c>
      <c r="I247" t="str">
        <f>_xlfn.XLOOKUP(H247,Charge_Reference!A:A,Charge_Reference!B:B)</f>
        <v>Dental Cleaning</v>
      </c>
      <c r="J247" s="8">
        <v>-190.655</v>
      </c>
      <c r="K247" t="s">
        <v>5</v>
      </c>
      <c r="L247" t="str">
        <f t="shared" si="3"/>
        <v>No instructions needed</v>
      </c>
    </row>
    <row r="248" spans="1:12" x14ac:dyDescent="0.3">
      <c r="A248">
        <v>247</v>
      </c>
      <c r="B248">
        <v>1</v>
      </c>
      <c r="C248">
        <v>67</v>
      </c>
      <c r="D248" t="s">
        <v>142</v>
      </c>
      <c r="E248" t="s">
        <v>29</v>
      </c>
      <c r="F248" t="s">
        <v>42</v>
      </c>
      <c r="G248" t="s">
        <v>297</v>
      </c>
      <c r="H248" t="s">
        <v>51</v>
      </c>
      <c r="I248" t="str">
        <f>_xlfn.XLOOKUP(H248,Charge_Reference!A:A,Charge_Reference!B:B)</f>
        <v>Radiographs</v>
      </c>
      <c r="J248" s="8">
        <v>20.9849</v>
      </c>
      <c r="K248" t="s">
        <v>5</v>
      </c>
      <c r="L248" t="str">
        <f t="shared" si="3"/>
        <v>No instructions needed</v>
      </c>
    </row>
    <row r="249" spans="1:12" x14ac:dyDescent="0.3">
      <c r="A249">
        <v>248</v>
      </c>
      <c r="B249">
        <v>198</v>
      </c>
      <c r="C249">
        <v>68</v>
      </c>
      <c r="D249" t="s">
        <v>188</v>
      </c>
      <c r="E249" t="s">
        <v>29</v>
      </c>
      <c r="F249" t="s">
        <v>42</v>
      </c>
      <c r="G249" t="s">
        <v>247</v>
      </c>
      <c r="H249" t="s">
        <v>64</v>
      </c>
      <c r="I249" t="str">
        <f>_xlfn.XLOOKUP(H249,Charge_Reference!A:A,Charge_Reference!B:B)</f>
        <v>Nail Trim</v>
      </c>
      <c r="J249" s="8">
        <v>529.94899999999996</v>
      </c>
      <c r="K249" t="s">
        <v>7</v>
      </c>
      <c r="L249" t="str">
        <f t="shared" si="3"/>
        <v>No instructions needed</v>
      </c>
    </row>
    <row r="250" spans="1:12" x14ac:dyDescent="0.3">
      <c r="A250">
        <v>249</v>
      </c>
      <c r="B250">
        <v>3</v>
      </c>
      <c r="C250">
        <v>124</v>
      </c>
      <c r="D250" t="s">
        <v>139</v>
      </c>
      <c r="E250" t="s">
        <v>41</v>
      </c>
      <c r="F250" t="s">
        <v>57</v>
      </c>
      <c r="G250" t="s">
        <v>298</v>
      </c>
      <c r="H250" t="s">
        <v>32</v>
      </c>
      <c r="I250" t="str">
        <f>_xlfn.XLOOKUP(H250,Charge_Reference!A:A,Charge_Reference!B:B)</f>
        <v>Surgery</v>
      </c>
      <c r="J250" s="8">
        <v>-12.8192</v>
      </c>
      <c r="K250" t="s">
        <v>7</v>
      </c>
      <c r="L250" t="str">
        <f t="shared" si="3"/>
        <v>Needs TGH instructions</v>
      </c>
    </row>
    <row r="251" spans="1:12" x14ac:dyDescent="0.3">
      <c r="A251">
        <v>250</v>
      </c>
      <c r="B251">
        <v>95</v>
      </c>
      <c r="C251">
        <v>119</v>
      </c>
      <c r="D251" t="s">
        <v>217</v>
      </c>
      <c r="E251" t="s">
        <v>29</v>
      </c>
      <c r="F251" t="s">
        <v>49</v>
      </c>
      <c r="G251" t="s">
        <v>170</v>
      </c>
      <c r="H251" t="s">
        <v>55</v>
      </c>
      <c r="I251" t="str">
        <f>_xlfn.XLOOKUP(H251,Charge_Reference!A:A,Charge_Reference!B:B)</f>
        <v>Vaccination</v>
      </c>
      <c r="J251" s="8">
        <v>709.1848</v>
      </c>
      <c r="K251" t="s">
        <v>3</v>
      </c>
      <c r="L251" t="str">
        <f t="shared" si="3"/>
        <v>No instructions needed</v>
      </c>
    </row>
    <row r="252" spans="1:12" x14ac:dyDescent="0.3">
      <c r="A252">
        <v>251</v>
      </c>
      <c r="B252">
        <v>135</v>
      </c>
      <c r="C252">
        <v>93</v>
      </c>
      <c r="D252" t="s">
        <v>48</v>
      </c>
      <c r="E252" t="s">
        <v>29</v>
      </c>
      <c r="F252" t="s">
        <v>76</v>
      </c>
      <c r="G252" t="s">
        <v>299</v>
      </c>
      <c r="H252" t="s">
        <v>32</v>
      </c>
      <c r="I252" t="str">
        <f>_xlfn.XLOOKUP(H252,Charge_Reference!A:A,Charge_Reference!B:B)</f>
        <v>Surgery</v>
      </c>
      <c r="J252" s="8">
        <v>937.99689999999998</v>
      </c>
      <c r="K252" t="s">
        <v>5</v>
      </c>
      <c r="L252" t="str">
        <f t="shared" si="3"/>
        <v>Needs TGH instructions</v>
      </c>
    </row>
    <row r="253" spans="1:12" x14ac:dyDescent="0.3">
      <c r="A253">
        <v>252</v>
      </c>
      <c r="B253">
        <v>167</v>
      </c>
      <c r="C253">
        <v>29</v>
      </c>
      <c r="D253" t="s">
        <v>84</v>
      </c>
      <c r="E253" t="s">
        <v>41</v>
      </c>
      <c r="F253" t="s">
        <v>107</v>
      </c>
      <c r="G253" t="s">
        <v>195</v>
      </c>
      <c r="H253" t="s">
        <v>40</v>
      </c>
      <c r="I253" t="str">
        <f>_xlfn.XLOOKUP(H253,Charge_Reference!A:A,Charge_Reference!B:B)</f>
        <v>Annual Bloodwork</v>
      </c>
      <c r="J253" s="8">
        <v>134.14410000000001</v>
      </c>
      <c r="K253" t="s">
        <v>5</v>
      </c>
      <c r="L253" t="str">
        <f t="shared" si="3"/>
        <v>No instructions needed</v>
      </c>
    </row>
    <row r="254" spans="1:12" x14ac:dyDescent="0.3">
      <c r="A254">
        <v>253</v>
      </c>
      <c r="B254">
        <v>45</v>
      </c>
      <c r="C254">
        <v>75</v>
      </c>
      <c r="D254" t="s">
        <v>191</v>
      </c>
      <c r="E254" t="s">
        <v>29</v>
      </c>
      <c r="F254" t="s">
        <v>160</v>
      </c>
      <c r="G254" t="s">
        <v>300</v>
      </c>
      <c r="H254" t="s">
        <v>59</v>
      </c>
      <c r="I254" t="str">
        <f>_xlfn.XLOOKUP(H254,Charge_Reference!A:A,Charge_Reference!B:B)</f>
        <v>Office Visit</v>
      </c>
      <c r="J254" s="8">
        <v>55.731499999999997</v>
      </c>
      <c r="K254" t="s">
        <v>3</v>
      </c>
      <c r="L254" t="str">
        <f t="shared" si="3"/>
        <v>No instructions needed</v>
      </c>
    </row>
    <row r="255" spans="1:12" x14ac:dyDescent="0.3">
      <c r="A255">
        <v>254</v>
      </c>
      <c r="B255">
        <v>68</v>
      </c>
      <c r="C255">
        <v>96</v>
      </c>
      <c r="D255" t="s">
        <v>147</v>
      </c>
      <c r="E255" t="s">
        <v>29</v>
      </c>
      <c r="F255" t="s">
        <v>151</v>
      </c>
      <c r="G255" t="s">
        <v>227</v>
      </c>
      <c r="H255" t="s">
        <v>55</v>
      </c>
      <c r="I255" t="str">
        <f>_xlfn.XLOOKUP(H255,Charge_Reference!A:A,Charge_Reference!B:B)</f>
        <v>Vaccination</v>
      </c>
      <c r="J255" s="8">
        <v>399.0763</v>
      </c>
      <c r="K255" t="s">
        <v>7</v>
      </c>
      <c r="L255" t="str">
        <f t="shared" si="3"/>
        <v>No instructions needed</v>
      </c>
    </row>
    <row r="256" spans="1:12" x14ac:dyDescent="0.3">
      <c r="A256">
        <v>255</v>
      </c>
      <c r="B256">
        <v>21</v>
      </c>
      <c r="C256">
        <v>70</v>
      </c>
      <c r="D256" t="s">
        <v>109</v>
      </c>
      <c r="E256" t="s">
        <v>29</v>
      </c>
      <c r="F256" t="s">
        <v>107</v>
      </c>
      <c r="G256" t="s">
        <v>257</v>
      </c>
      <c r="H256" t="s">
        <v>47</v>
      </c>
      <c r="I256" t="str">
        <f>_xlfn.XLOOKUP(H256,Charge_Reference!A:A,Charge_Reference!B:B)</f>
        <v>Dental Cleaning</v>
      </c>
      <c r="J256" s="8">
        <v>848.01750000000004</v>
      </c>
      <c r="K256" t="s">
        <v>3</v>
      </c>
      <c r="L256" t="str">
        <f t="shared" si="3"/>
        <v>No instructions needed</v>
      </c>
    </row>
    <row r="257" spans="1:12" x14ac:dyDescent="0.3">
      <c r="A257">
        <v>256</v>
      </c>
      <c r="B257">
        <v>22</v>
      </c>
      <c r="C257">
        <v>92</v>
      </c>
      <c r="D257" t="s">
        <v>183</v>
      </c>
      <c r="E257" t="s">
        <v>29</v>
      </c>
      <c r="F257" t="s">
        <v>82</v>
      </c>
      <c r="G257" t="s">
        <v>301</v>
      </c>
      <c r="H257" t="s">
        <v>55</v>
      </c>
      <c r="I257" t="str">
        <f>_xlfn.XLOOKUP(H257,Charge_Reference!A:A,Charge_Reference!B:B)</f>
        <v>Vaccination</v>
      </c>
      <c r="J257" s="8">
        <v>703.55240000000003</v>
      </c>
      <c r="K257" t="s">
        <v>5</v>
      </c>
      <c r="L257" t="str">
        <f t="shared" si="3"/>
        <v>No instructions needed</v>
      </c>
    </row>
    <row r="258" spans="1:12" x14ac:dyDescent="0.3">
      <c r="A258">
        <v>257</v>
      </c>
      <c r="B258">
        <v>1</v>
      </c>
      <c r="C258">
        <v>12</v>
      </c>
      <c r="D258" t="s">
        <v>214</v>
      </c>
      <c r="E258" t="s">
        <v>29</v>
      </c>
      <c r="F258" t="s">
        <v>53</v>
      </c>
      <c r="G258" t="s">
        <v>216</v>
      </c>
      <c r="H258" t="s">
        <v>40</v>
      </c>
      <c r="I258" t="str">
        <f>_xlfn.XLOOKUP(H258,Charge_Reference!A:A,Charge_Reference!B:B)</f>
        <v>Annual Bloodwork</v>
      </c>
      <c r="J258" s="8">
        <v>768.99019999999996</v>
      </c>
      <c r="K258" t="s">
        <v>3</v>
      </c>
      <c r="L258" t="str">
        <f t="shared" si="3"/>
        <v>No instructions needed</v>
      </c>
    </row>
    <row r="259" spans="1:12" x14ac:dyDescent="0.3">
      <c r="A259">
        <v>258</v>
      </c>
      <c r="B259">
        <v>85</v>
      </c>
      <c r="C259">
        <v>143</v>
      </c>
      <c r="D259" t="s">
        <v>211</v>
      </c>
      <c r="E259" t="s">
        <v>29</v>
      </c>
      <c r="F259" t="s">
        <v>82</v>
      </c>
      <c r="G259" t="s">
        <v>302</v>
      </c>
      <c r="H259" t="s">
        <v>59</v>
      </c>
      <c r="I259" t="str">
        <f>_xlfn.XLOOKUP(H259,Charge_Reference!A:A,Charge_Reference!B:B)</f>
        <v>Office Visit</v>
      </c>
      <c r="J259" s="8">
        <v>204.3784</v>
      </c>
      <c r="K259" t="s">
        <v>5</v>
      </c>
      <c r="L259" t="str">
        <f t="shared" ref="L259:L322" si="4">IF(I259 = "Surgery", "Needs TGH instructions", "No instructions needed")</f>
        <v>No instructions needed</v>
      </c>
    </row>
    <row r="260" spans="1:12" x14ac:dyDescent="0.3">
      <c r="A260">
        <v>259</v>
      </c>
      <c r="B260">
        <v>9</v>
      </c>
      <c r="C260">
        <v>135</v>
      </c>
      <c r="D260" t="s">
        <v>84</v>
      </c>
      <c r="E260" t="s">
        <v>41</v>
      </c>
      <c r="F260" t="s">
        <v>160</v>
      </c>
      <c r="G260" t="s">
        <v>303</v>
      </c>
      <c r="H260" t="s">
        <v>51</v>
      </c>
      <c r="I260" t="str">
        <f>_xlfn.XLOOKUP(H260,Charge_Reference!A:A,Charge_Reference!B:B)</f>
        <v>Radiographs</v>
      </c>
      <c r="J260" s="8">
        <v>981.23979999999995</v>
      </c>
      <c r="K260" t="s">
        <v>7</v>
      </c>
      <c r="L260" t="str">
        <f t="shared" si="4"/>
        <v>No instructions needed</v>
      </c>
    </row>
    <row r="261" spans="1:12" x14ac:dyDescent="0.3">
      <c r="A261">
        <v>260</v>
      </c>
      <c r="B261">
        <v>64</v>
      </c>
      <c r="C261">
        <v>114</v>
      </c>
      <c r="D261" t="s">
        <v>149</v>
      </c>
      <c r="E261" t="s">
        <v>29</v>
      </c>
      <c r="F261" t="s">
        <v>76</v>
      </c>
      <c r="G261" t="s">
        <v>304</v>
      </c>
      <c r="H261" t="s">
        <v>64</v>
      </c>
      <c r="I261" t="str">
        <f>_xlfn.XLOOKUP(H261,Charge_Reference!A:A,Charge_Reference!B:B)</f>
        <v>Nail Trim</v>
      </c>
      <c r="J261" s="8">
        <v>756.8836</v>
      </c>
      <c r="K261" t="s">
        <v>3</v>
      </c>
      <c r="L261" t="str">
        <f t="shared" si="4"/>
        <v>No instructions needed</v>
      </c>
    </row>
    <row r="262" spans="1:12" x14ac:dyDescent="0.3">
      <c r="A262">
        <v>261</v>
      </c>
      <c r="B262">
        <v>200</v>
      </c>
      <c r="C262">
        <v>18</v>
      </c>
      <c r="D262" t="s">
        <v>211</v>
      </c>
      <c r="E262" t="s">
        <v>41</v>
      </c>
      <c r="F262" t="s">
        <v>61</v>
      </c>
      <c r="G262" t="s">
        <v>305</v>
      </c>
      <c r="H262" t="s">
        <v>59</v>
      </c>
      <c r="I262" t="str">
        <f>_xlfn.XLOOKUP(H262,Charge_Reference!A:A,Charge_Reference!B:B)</f>
        <v>Office Visit</v>
      </c>
      <c r="J262" s="8">
        <v>61.8001</v>
      </c>
      <c r="K262" t="s">
        <v>5</v>
      </c>
      <c r="L262" t="str">
        <f t="shared" si="4"/>
        <v>No instructions needed</v>
      </c>
    </row>
    <row r="263" spans="1:12" x14ac:dyDescent="0.3">
      <c r="A263">
        <v>262</v>
      </c>
      <c r="B263">
        <v>127</v>
      </c>
      <c r="C263">
        <v>68</v>
      </c>
      <c r="D263" t="s">
        <v>52</v>
      </c>
      <c r="E263" t="s">
        <v>41</v>
      </c>
      <c r="F263" t="s">
        <v>76</v>
      </c>
      <c r="G263" t="s">
        <v>133</v>
      </c>
      <c r="H263" t="s">
        <v>40</v>
      </c>
      <c r="I263" t="str">
        <f>_xlfn.XLOOKUP(H263,Charge_Reference!A:A,Charge_Reference!B:B)</f>
        <v>Annual Bloodwork</v>
      </c>
      <c r="J263" s="8">
        <v>702.53989999999999</v>
      </c>
      <c r="K263" t="s">
        <v>5</v>
      </c>
      <c r="L263" t="str">
        <f t="shared" si="4"/>
        <v>No instructions needed</v>
      </c>
    </row>
    <row r="264" spans="1:12" x14ac:dyDescent="0.3">
      <c r="A264">
        <v>263</v>
      </c>
      <c r="B264">
        <v>87</v>
      </c>
      <c r="C264">
        <v>31</v>
      </c>
      <c r="D264" t="s">
        <v>81</v>
      </c>
      <c r="E264" t="s">
        <v>29</v>
      </c>
      <c r="F264" t="s">
        <v>145</v>
      </c>
      <c r="G264" t="s">
        <v>306</v>
      </c>
      <c r="H264" t="s">
        <v>64</v>
      </c>
      <c r="I264" t="str">
        <f>_xlfn.XLOOKUP(H264,Charge_Reference!A:A,Charge_Reference!B:B)</f>
        <v>Nail Trim</v>
      </c>
      <c r="J264" s="8">
        <v>-7.5829000000000004</v>
      </c>
      <c r="K264" t="s">
        <v>5</v>
      </c>
      <c r="L264" t="str">
        <f t="shared" si="4"/>
        <v>No instructions needed</v>
      </c>
    </row>
    <row r="265" spans="1:12" x14ac:dyDescent="0.3">
      <c r="A265">
        <v>264</v>
      </c>
      <c r="B265">
        <v>54</v>
      </c>
      <c r="C265">
        <v>15</v>
      </c>
      <c r="D265" t="s">
        <v>91</v>
      </c>
      <c r="E265" t="s">
        <v>41</v>
      </c>
      <c r="F265" t="s">
        <v>171</v>
      </c>
      <c r="G265" t="s">
        <v>307</v>
      </c>
      <c r="H265" t="s">
        <v>32</v>
      </c>
      <c r="I265" t="str">
        <f>_xlfn.XLOOKUP(H265,Charge_Reference!A:A,Charge_Reference!B:B)</f>
        <v>Surgery</v>
      </c>
      <c r="J265" s="8">
        <v>151.87129999999999</v>
      </c>
      <c r="K265" t="s">
        <v>3</v>
      </c>
      <c r="L265" t="str">
        <f t="shared" si="4"/>
        <v>Needs TGH instructions</v>
      </c>
    </row>
    <row r="266" spans="1:12" x14ac:dyDescent="0.3">
      <c r="A266">
        <v>265</v>
      </c>
      <c r="B266">
        <v>195</v>
      </c>
      <c r="C266">
        <v>49</v>
      </c>
      <c r="D266" t="s">
        <v>93</v>
      </c>
      <c r="E266" t="s">
        <v>41</v>
      </c>
      <c r="F266" t="s">
        <v>34</v>
      </c>
      <c r="G266" t="s">
        <v>308</v>
      </c>
      <c r="H266" t="s">
        <v>32</v>
      </c>
      <c r="I266" t="str">
        <f>_xlfn.XLOOKUP(H266,Charge_Reference!A:A,Charge_Reference!B:B)</f>
        <v>Surgery</v>
      </c>
      <c r="J266" s="8">
        <v>3.4083999999999999</v>
      </c>
      <c r="K266" t="s">
        <v>3</v>
      </c>
      <c r="L266" t="str">
        <f t="shared" si="4"/>
        <v>Needs TGH instructions</v>
      </c>
    </row>
    <row r="267" spans="1:12" x14ac:dyDescent="0.3">
      <c r="A267">
        <v>266</v>
      </c>
      <c r="B267">
        <v>40</v>
      </c>
      <c r="C267">
        <v>34</v>
      </c>
      <c r="D267" t="s">
        <v>147</v>
      </c>
      <c r="E267" t="s">
        <v>41</v>
      </c>
      <c r="F267" t="s">
        <v>71</v>
      </c>
      <c r="G267" t="s">
        <v>309</v>
      </c>
      <c r="H267" t="s">
        <v>36</v>
      </c>
      <c r="I267" t="str">
        <f>_xlfn.XLOOKUP(H267,Charge_Reference!A:A,Charge_Reference!B:B)</f>
        <v>Emergency Visit</v>
      </c>
      <c r="J267" s="8">
        <v>941.65480000000002</v>
      </c>
      <c r="K267" t="s">
        <v>5</v>
      </c>
      <c r="L267" t="str">
        <f t="shared" si="4"/>
        <v>No instructions needed</v>
      </c>
    </row>
    <row r="268" spans="1:12" x14ac:dyDescent="0.3">
      <c r="A268">
        <v>267</v>
      </c>
      <c r="B268">
        <v>93</v>
      </c>
      <c r="C268">
        <v>121</v>
      </c>
      <c r="D268" t="s">
        <v>126</v>
      </c>
      <c r="E268" t="s">
        <v>29</v>
      </c>
      <c r="F268" t="s">
        <v>85</v>
      </c>
      <c r="G268" t="s">
        <v>180</v>
      </c>
      <c r="H268" t="s">
        <v>32</v>
      </c>
      <c r="I268" t="str">
        <f>_xlfn.XLOOKUP(H268,Charge_Reference!A:A,Charge_Reference!B:B)</f>
        <v>Surgery</v>
      </c>
      <c r="J268" s="8">
        <v>210.39160000000001</v>
      </c>
      <c r="K268" t="s">
        <v>5</v>
      </c>
      <c r="L268" t="str">
        <f t="shared" si="4"/>
        <v>Needs TGH instructions</v>
      </c>
    </row>
    <row r="269" spans="1:12" x14ac:dyDescent="0.3">
      <c r="A269">
        <v>268</v>
      </c>
      <c r="B269">
        <v>185</v>
      </c>
      <c r="C269">
        <v>116</v>
      </c>
      <c r="D269" t="s">
        <v>154</v>
      </c>
      <c r="E269" t="s">
        <v>29</v>
      </c>
      <c r="F269" t="s">
        <v>53</v>
      </c>
      <c r="G269" t="s">
        <v>248</v>
      </c>
      <c r="H269" t="s">
        <v>32</v>
      </c>
      <c r="I269" t="str">
        <f>_xlfn.XLOOKUP(H269,Charge_Reference!A:A,Charge_Reference!B:B)</f>
        <v>Surgery</v>
      </c>
      <c r="J269" s="8">
        <v>500.19130000000001</v>
      </c>
      <c r="K269" t="s">
        <v>5</v>
      </c>
      <c r="L269" t="str">
        <f t="shared" si="4"/>
        <v>Needs TGH instructions</v>
      </c>
    </row>
    <row r="270" spans="1:12" x14ac:dyDescent="0.3">
      <c r="A270">
        <v>269</v>
      </c>
      <c r="B270">
        <v>131</v>
      </c>
      <c r="C270">
        <v>89</v>
      </c>
      <c r="D270" t="s">
        <v>84</v>
      </c>
      <c r="E270" t="s">
        <v>29</v>
      </c>
      <c r="F270" t="s">
        <v>116</v>
      </c>
      <c r="G270" t="s">
        <v>173</v>
      </c>
      <c r="H270" t="s">
        <v>32</v>
      </c>
      <c r="I270" t="str">
        <f>_xlfn.XLOOKUP(H270,Charge_Reference!A:A,Charge_Reference!B:B)</f>
        <v>Surgery</v>
      </c>
      <c r="J270" s="8">
        <v>623.41480000000001</v>
      </c>
      <c r="K270" t="s">
        <v>3</v>
      </c>
      <c r="L270" t="str">
        <f t="shared" si="4"/>
        <v>Needs TGH instructions</v>
      </c>
    </row>
    <row r="271" spans="1:12" x14ac:dyDescent="0.3">
      <c r="A271">
        <v>270</v>
      </c>
      <c r="B271">
        <v>31</v>
      </c>
      <c r="C271">
        <v>38</v>
      </c>
      <c r="D271" t="s">
        <v>70</v>
      </c>
      <c r="E271" t="s">
        <v>41</v>
      </c>
      <c r="F271" t="s">
        <v>57</v>
      </c>
      <c r="G271" t="s">
        <v>310</v>
      </c>
      <c r="H271" t="s">
        <v>47</v>
      </c>
      <c r="I271" t="str">
        <f>_xlfn.XLOOKUP(H271,Charge_Reference!A:A,Charge_Reference!B:B)</f>
        <v>Dental Cleaning</v>
      </c>
      <c r="J271" s="8">
        <v>835.18650000000002</v>
      </c>
      <c r="K271" t="s">
        <v>7</v>
      </c>
      <c r="L271" t="str">
        <f t="shared" si="4"/>
        <v>No instructions needed</v>
      </c>
    </row>
    <row r="272" spans="1:12" x14ac:dyDescent="0.3">
      <c r="A272">
        <v>271</v>
      </c>
      <c r="B272">
        <v>56</v>
      </c>
      <c r="C272">
        <v>71</v>
      </c>
      <c r="D272" t="s">
        <v>220</v>
      </c>
      <c r="E272" t="s">
        <v>29</v>
      </c>
      <c r="F272" t="s">
        <v>42</v>
      </c>
      <c r="G272" t="s">
        <v>290</v>
      </c>
      <c r="H272" t="s">
        <v>36</v>
      </c>
      <c r="I272" t="str">
        <f>_xlfn.XLOOKUP(H272,Charge_Reference!A:A,Charge_Reference!B:B)</f>
        <v>Emergency Visit</v>
      </c>
      <c r="J272" s="8">
        <v>652.3578</v>
      </c>
      <c r="K272" t="s">
        <v>7</v>
      </c>
      <c r="L272" t="str">
        <f t="shared" si="4"/>
        <v>No instructions needed</v>
      </c>
    </row>
    <row r="273" spans="1:12" x14ac:dyDescent="0.3">
      <c r="A273">
        <v>272</v>
      </c>
      <c r="B273">
        <v>135</v>
      </c>
      <c r="C273">
        <v>135</v>
      </c>
      <c r="D273" t="s">
        <v>244</v>
      </c>
      <c r="E273" t="s">
        <v>41</v>
      </c>
      <c r="F273" t="s">
        <v>45</v>
      </c>
      <c r="G273" t="s">
        <v>260</v>
      </c>
      <c r="H273" t="s">
        <v>40</v>
      </c>
      <c r="I273" t="str">
        <f>_xlfn.XLOOKUP(H273,Charge_Reference!A:A,Charge_Reference!B:B)</f>
        <v>Annual Bloodwork</v>
      </c>
      <c r="J273" s="8">
        <v>833.65060000000005</v>
      </c>
      <c r="K273" t="s">
        <v>5</v>
      </c>
      <c r="L273" t="str">
        <f t="shared" si="4"/>
        <v>No instructions needed</v>
      </c>
    </row>
    <row r="274" spans="1:12" x14ac:dyDescent="0.3">
      <c r="A274">
        <v>273</v>
      </c>
      <c r="B274">
        <v>19</v>
      </c>
      <c r="C274">
        <v>61</v>
      </c>
      <c r="D274" t="s">
        <v>179</v>
      </c>
      <c r="E274" t="s">
        <v>29</v>
      </c>
      <c r="F274" t="s">
        <v>171</v>
      </c>
      <c r="G274" t="s">
        <v>132</v>
      </c>
      <c r="H274" t="s">
        <v>36</v>
      </c>
      <c r="I274" t="str">
        <f>_xlfn.XLOOKUP(H274,Charge_Reference!A:A,Charge_Reference!B:B)</f>
        <v>Emergency Visit</v>
      </c>
      <c r="J274" s="8">
        <v>864.29219999999998</v>
      </c>
      <c r="K274" t="s">
        <v>3</v>
      </c>
      <c r="L274" t="str">
        <f t="shared" si="4"/>
        <v>No instructions needed</v>
      </c>
    </row>
    <row r="275" spans="1:12" x14ac:dyDescent="0.3">
      <c r="A275">
        <v>274</v>
      </c>
      <c r="B275">
        <v>194</v>
      </c>
      <c r="C275">
        <v>149</v>
      </c>
      <c r="D275" t="s">
        <v>89</v>
      </c>
      <c r="E275" t="s">
        <v>29</v>
      </c>
      <c r="F275" t="s">
        <v>57</v>
      </c>
      <c r="G275" t="s">
        <v>311</v>
      </c>
      <c r="H275" t="s">
        <v>51</v>
      </c>
      <c r="I275" t="str">
        <f>_xlfn.XLOOKUP(H275,Charge_Reference!A:A,Charge_Reference!B:B)</f>
        <v>Radiographs</v>
      </c>
      <c r="J275" s="8">
        <v>937.99369999999999</v>
      </c>
      <c r="K275" t="s">
        <v>5</v>
      </c>
      <c r="L275" t="str">
        <f t="shared" si="4"/>
        <v>No instructions needed</v>
      </c>
    </row>
    <row r="276" spans="1:12" x14ac:dyDescent="0.3">
      <c r="A276">
        <v>275</v>
      </c>
      <c r="B276">
        <v>107</v>
      </c>
      <c r="C276">
        <v>12</v>
      </c>
      <c r="D276" t="s">
        <v>244</v>
      </c>
      <c r="E276" t="s">
        <v>29</v>
      </c>
      <c r="F276" t="s">
        <v>116</v>
      </c>
      <c r="G276" t="s">
        <v>153</v>
      </c>
      <c r="H276" t="s">
        <v>36</v>
      </c>
      <c r="I276" t="str">
        <f>_xlfn.XLOOKUP(H276,Charge_Reference!A:A,Charge_Reference!B:B)</f>
        <v>Emergency Visit</v>
      </c>
      <c r="J276" s="8">
        <v>-190.23249999999999</v>
      </c>
      <c r="K276" t="s">
        <v>5</v>
      </c>
      <c r="L276" t="str">
        <f t="shared" si="4"/>
        <v>No instructions needed</v>
      </c>
    </row>
    <row r="277" spans="1:12" x14ac:dyDescent="0.3">
      <c r="A277">
        <v>276</v>
      </c>
      <c r="B277">
        <v>159</v>
      </c>
      <c r="C277">
        <v>64</v>
      </c>
      <c r="D277" t="s">
        <v>312</v>
      </c>
      <c r="E277" t="s">
        <v>29</v>
      </c>
      <c r="F277" t="s">
        <v>104</v>
      </c>
      <c r="G277" t="s">
        <v>313</v>
      </c>
      <c r="H277" t="s">
        <v>47</v>
      </c>
      <c r="I277" t="str">
        <f>_xlfn.XLOOKUP(H277,Charge_Reference!A:A,Charge_Reference!B:B)</f>
        <v>Dental Cleaning</v>
      </c>
      <c r="J277" s="8">
        <v>547.42399999999998</v>
      </c>
      <c r="K277" t="s">
        <v>7</v>
      </c>
      <c r="L277" t="str">
        <f t="shared" si="4"/>
        <v>No instructions needed</v>
      </c>
    </row>
    <row r="278" spans="1:12" x14ac:dyDescent="0.3">
      <c r="A278">
        <v>277</v>
      </c>
      <c r="B278">
        <v>147</v>
      </c>
      <c r="C278">
        <v>75</v>
      </c>
      <c r="D278" t="s">
        <v>120</v>
      </c>
      <c r="E278" t="s">
        <v>41</v>
      </c>
      <c r="F278" t="s">
        <v>61</v>
      </c>
      <c r="G278" t="s">
        <v>215</v>
      </c>
      <c r="H278" t="s">
        <v>47</v>
      </c>
      <c r="I278" t="str">
        <f>_xlfn.XLOOKUP(H278,Charge_Reference!A:A,Charge_Reference!B:B)</f>
        <v>Dental Cleaning</v>
      </c>
      <c r="J278" s="8">
        <v>599.75210000000004</v>
      </c>
      <c r="K278" t="s">
        <v>7</v>
      </c>
      <c r="L278" t="str">
        <f t="shared" si="4"/>
        <v>No instructions needed</v>
      </c>
    </row>
    <row r="279" spans="1:12" x14ac:dyDescent="0.3">
      <c r="A279">
        <v>278</v>
      </c>
      <c r="B279">
        <v>84</v>
      </c>
      <c r="C279">
        <v>150</v>
      </c>
      <c r="D279" t="s">
        <v>312</v>
      </c>
      <c r="E279" t="s">
        <v>41</v>
      </c>
      <c r="F279" t="s">
        <v>87</v>
      </c>
      <c r="G279" t="s">
        <v>314</v>
      </c>
      <c r="H279" t="s">
        <v>40</v>
      </c>
      <c r="I279" t="str">
        <f>_xlfn.XLOOKUP(H279,Charge_Reference!A:A,Charge_Reference!B:B)</f>
        <v>Annual Bloodwork</v>
      </c>
      <c r="J279" s="8">
        <v>201.33260000000001</v>
      </c>
      <c r="K279" t="s">
        <v>5</v>
      </c>
      <c r="L279" t="str">
        <f t="shared" si="4"/>
        <v>No instructions needed</v>
      </c>
    </row>
    <row r="280" spans="1:12" x14ac:dyDescent="0.3">
      <c r="A280">
        <v>279</v>
      </c>
      <c r="B280">
        <v>192</v>
      </c>
      <c r="C280">
        <v>33</v>
      </c>
      <c r="D280" t="s">
        <v>154</v>
      </c>
      <c r="E280" t="s">
        <v>29</v>
      </c>
      <c r="F280" t="s">
        <v>116</v>
      </c>
      <c r="G280" t="s">
        <v>315</v>
      </c>
      <c r="H280" t="s">
        <v>32</v>
      </c>
      <c r="I280" t="str">
        <f>_xlfn.XLOOKUP(H280,Charge_Reference!A:A,Charge_Reference!B:B)</f>
        <v>Surgery</v>
      </c>
      <c r="J280" s="8">
        <v>796.90470000000005</v>
      </c>
      <c r="K280" t="s">
        <v>7</v>
      </c>
      <c r="L280" t="str">
        <f t="shared" si="4"/>
        <v>Needs TGH instructions</v>
      </c>
    </row>
    <row r="281" spans="1:12" x14ac:dyDescent="0.3">
      <c r="A281">
        <v>280</v>
      </c>
      <c r="B281">
        <v>190</v>
      </c>
      <c r="C281">
        <v>96</v>
      </c>
      <c r="D281" t="s">
        <v>179</v>
      </c>
      <c r="E281" t="s">
        <v>29</v>
      </c>
      <c r="F281" t="s">
        <v>45</v>
      </c>
      <c r="G281" t="s">
        <v>148</v>
      </c>
      <c r="H281" t="s">
        <v>32</v>
      </c>
      <c r="I281" t="str">
        <f>_xlfn.XLOOKUP(H281,Charge_Reference!A:A,Charge_Reference!B:B)</f>
        <v>Surgery</v>
      </c>
      <c r="J281" s="8">
        <v>218.9503</v>
      </c>
      <c r="K281" t="s">
        <v>5</v>
      </c>
      <c r="L281" t="str">
        <f t="shared" si="4"/>
        <v>Needs TGH instructions</v>
      </c>
    </row>
    <row r="282" spans="1:12" x14ac:dyDescent="0.3">
      <c r="A282">
        <v>281</v>
      </c>
      <c r="B282">
        <v>80</v>
      </c>
      <c r="C282">
        <v>36</v>
      </c>
      <c r="D282" t="s">
        <v>113</v>
      </c>
      <c r="E282" t="s">
        <v>41</v>
      </c>
      <c r="F282" t="s">
        <v>87</v>
      </c>
      <c r="G282" t="s">
        <v>316</v>
      </c>
      <c r="H282" t="s">
        <v>55</v>
      </c>
      <c r="I282" t="str">
        <f>_xlfn.XLOOKUP(H282,Charge_Reference!A:A,Charge_Reference!B:B)</f>
        <v>Vaccination</v>
      </c>
      <c r="J282" s="8">
        <v>187.49449999999999</v>
      </c>
      <c r="K282" t="s">
        <v>5</v>
      </c>
      <c r="L282" t="str">
        <f t="shared" si="4"/>
        <v>No instructions needed</v>
      </c>
    </row>
    <row r="283" spans="1:12" x14ac:dyDescent="0.3">
      <c r="A283">
        <v>282</v>
      </c>
      <c r="B283">
        <v>32</v>
      </c>
      <c r="C283">
        <v>30</v>
      </c>
      <c r="D283" t="s">
        <v>217</v>
      </c>
      <c r="E283" t="s">
        <v>41</v>
      </c>
      <c r="F283" t="s">
        <v>42</v>
      </c>
      <c r="G283" t="s">
        <v>177</v>
      </c>
      <c r="H283" t="s">
        <v>64</v>
      </c>
      <c r="I283" t="str">
        <f>_xlfn.XLOOKUP(H283,Charge_Reference!A:A,Charge_Reference!B:B)</f>
        <v>Nail Trim</v>
      </c>
      <c r="J283" s="8">
        <v>156.34610000000001</v>
      </c>
      <c r="K283" t="s">
        <v>3</v>
      </c>
      <c r="L283" t="str">
        <f t="shared" si="4"/>
        <v>No instructions needed</v>
      </c>
    </row>
    <row r="284" spans="1:12" x14ac:dyDescent="0.3">
      <c r="A284">
        <v>283</v>
      </c>
      <c r="B284">
        <v>160</v>
      </c>
      <c r="C284">
        <v>87</v>
      </c>
      <c r="D284" t="s">
        <v>211</v>
      </c>
      <c r="E284" t="s">
        <v>41</v>
      </c>
      <c r="F284" t="s">
        <v>107</v>
      </c>
      <c r="G284" t="s">
        <v>317</v>
      </c>
      <c r="H284" t="s">
        <v>40</v>
      </c>
      <c r="I284" t="str">
        <f>_xlfn.XLOOKUP(H284,Charge_Reference!A:A,Charge_Reference!B:B)</f>
        <v>Annual Bloodwork</v>
      </c>
      <c r="J284" s="8">
        <v>818.17679999999996</v>
      </c>
      <c r="K284" t="s">
        <v>5</v>
      </c>
      <c r="L284" t="str">
        <f t="shared" si="4"/>
        <v>No instructions needed</v>
      </c>
    </row>
    <row r="285" spans="1:12" x14ac:dyDescent="0.3">
      <c r="A285">
        <v>284</v>
      </c>
      <c r="B285">
        <v>165</v>
      </c>
      <c r="C285">
        <v>24</v>
      </c>
      <c r="D285" t="s">
        <v>214</v>
      </c>
      <c r="E285" t="s">
        <v>41</v>
      </c>
      <c r="F285" t="s">
        <v>61</v>
      </c>
      <c r="G285" t="s">
        <v>318</v>
      </c>
      <c r="H285" t="s">
        <v>59</v>
      </c>
      <c r="I285" t="str">
        <f>_xlfn.XLOOKUP(H285,Charge_Reference!A:A,Charge_Reference!B:B)</f>
        <v>Office Visit</v>
      </c>
      <c r="J285" s="8">
        <v>321.07479999999998</v>
      </c>
      <c r="K285" t="s">
        <v>5</v>
      </c>
      <c r="L285" t="str">
        <f t="shared" si="4"/>
        <v>No instructions needed</v>
      </c>
    </row>
    <row r="286" spans="1:12" x14ac:dyDescent="0.3">
      <c r="A286">
        <v>285</v>
      </c>
      <c r="B286">
        <v>167</v>
      </c>
      <c r="C286">
        <v>83</v>
      </c>
      <c r="D286" t="s">
        <v>211</v>
      </c>
      <c r="E286" t="s">
        <v>41</v>
      </c>
      <c r="F286" t="s">
        <v>87</v>
      </c>
      <c r="G286" t="s">
        <v>319</v>
      </c>
      <c r="H286" t="s">
        <v>32</v>
      </c>
      <c r="I286" t="str">
        <f>_xlfn.XLOOKUP(H286,Charge_Reference!A:A,Charge_Reference!B:B)</f>
        <v>Surgery</v>
      </c>
      <c r="J286" s="8">
        <v>37.183700000000002</v>
      </c>
      <c r="K286" t="s">
        <v>7</v>
      </c>
      <c r="L286" t="str">
        <f t="shared" si="4"/>
        <v>Needs TGH instructions</v>
      </c>
    </row>
    <row r="287" spans="1:12" x14ac:dyDescent="0.3">
      <c r="A287">
        <v>286</v>
      </c>
      <c r="B287">
        <v>15</v>
      </c>
      <c r="C287">
        <v>138</v>
      </c>
      <c r="D287" t="s">
        <v>128</v>
      </c>
      <c r="E287" t="s">
        <v>41</v>
      </c>
      <c r="F287" t="s">
        <v>102</v>
      </c>
      <c r="G287" t="s">
        <v>243</v>
      </c>
      <c r="H287" t="s">
        <v>36</v>
      </c>
      <c r="I287" t="str">
        <f>_xlfn.XLOOKUP(H287,Charge_Reference!A:A,Charge_Reference!B:B)</f>
        <v>Emergency Visit</v>
      </c>
      <c r="J287" s="8">
        <v>-141.22739999999999</v>
      </c>
      <c r="K287" t="s">
        <v>7</v>
      </c>
      <c r="L287" t="str">
        <f t="shared" si="4"/>
        <v>No instructions needed</v>
      </c>
    </row>
    <row r="288" spans="1:12" x14ac:dyDescent="0.3">
      <c r="A288">
        <v>287</v>
      </c>
      <c r="B288">
        <v>33</v>
      </c>
      <c r="C288">
        <v>99</v>
      </c>
      <c r="D288" t="s">
        <v>130</v>
      </c>
      <c r="E288" t="s">
        <v>41</v>
      </c>
      <c r="F288" t="s">
        <v>116</v>
      </c>
      <c r="G288" t="s">
        <v>98</v>
      </c>
      <c r="H288" t="s">
        <v>59</v>
      </c>
      <c r="I288" t="str">
        <f>_xlfn.XLOOKUP(H288,Charge_Reference!A:A,Charge_Reference!B:B)</f>
        <v>Office Visit</v>
      </c>
      <c r="J288" s="8">
        <v>181.8212</v>
      </c>
      <c r="K288" t="s">
        <v>3</v>
      </c>
      <c r="L288" t="str">
        <f t="shared" si="4"/>
        <v>No instructions needed</v>
      </c>
    </row>
    <row r="289" spans="1:12" x14ac:dyDescent="0.3">
      <c r="A289">
        <v>288</v>
      </c>
      <c r="B289">
        <v>105</v>
      </c>
      <c r="C289">
        <v>35</v>
      </c>
      <c r="D289" t="s">
        <v>130</v>
      </c>
      <c r="E289" t="s">
        <v>41</v>
      </c>
      <c r="F289" t="s">
        <v>85</v>
      </c>
      <c r="G289" t="s">
        <v>320</v>
      </c>
      <c r="H289" t="s">
        <v>32</v>
      </c>
      <c r="I289" t="str">
        <f>_xlfn.XLOOKUP(H289,Charge_Reference!A:A,Charge_Reference!B:B)</f>
        <v>Surgery</v>
      </c>
      <c r="J289" s="8">
        <v>192.07159999999999</v>
      </c>
      <c r="K289" t="s">
        <v>3</v>
      </c>
      <c r="L289" t="str">
        <f t="shared" si="4"/>
        <v>Needs TGH instructions</v>
      </c>
    </row>
    <row r="290" spans="1:12" x14ac:dyDescent="0.3">
      <c r="A290">
        <v>289</v>
      </c>
      <c r="B290">
        <v>2</v>
      </c>
      <c r="C290">
        <v>30</v>
      </c>
      <c r="D290" t="s">
        <v>220</v>
      </c>
      <c r="E290" t="s">
        <v>41</v>
      </c>
      <c r="F290" t="s">
        <v>151</v>
      </c>
      <c r="G290" t="s">
        <v>321</v>
      </c>
      <c r="H290" t="s">
        <v>59</v>
      </c>
      <c r="I290" t="str">
        <f>_xlfn.XLOOKUP(H290,Charge_Reference!A:A,Charge_Reference!B:B)</f>
        <v>Office Visit</v>
      </c>
      <c r="J290" s="8">
        <v>996.05380000000002</v>
      </c>
      <c r="K290" t="s">
        <v>5</v>
      </c>
      <c r="L290" t="str">
        <f t="shared" si="4"/>
        <v>No instructions needed</v>
      </c>
    </row>
    <row r="291" spans="1:12" x14ac:dyDescent="0.3">
      <c r="A291">
        <v>290</v>
      </c>
      <c r="B291">
        <v>59</v>
      </c>
      <c r="C291">
        <v>141</v>
      </c>
      <c r="D291" t="s">
        <v>244</v>
      </c>
      <c r="E291" t="s">
        <v>41</v>
      </c>
      <c r="F291" t="s">
        <v>131</v>
      </c>
      <c r="G291" t="s">
        <v>289</v>
      </c>
      <c r="H291" t="s">
        <v>40</v>
      </c>
      <c r="I291" t="str">
        <f>_xlfn.XLOOKUP(H291,Charge_Reference!A:A,Charge_Reference!B:B)</f>
        <v>Annual Bloodwork</v>
      </c>
      <c r="J291" s="8">
        <v>531.97080000000005</v>
      </c>
      <c r="K291" t="s">
        <v>5</v>
      </c>
      <c r="L291" t="str">
        <f t="shared" si="4"/>
        <v>No instructions needed</v>
      </c>
    </row>
    <row r="292" spans="1:12" x14ac:dyDescent="0.3">
      <c r="A292">
        <v>291</v>
      </c>
      <c r="B292">
        <v>40</v>
      </c>
      <c r="C292">
        <v>136</v>
      </c>
      <c r="D292" t="s">
        <v>312</v>
      </c>
      <c r="E292" t="s">
        <v>29</v>
      </c>
      <c r="F292" t="s">
        <v>61</v>
      </c>
      <c r="G292" t="s">
        <v>235</v>
      </c>
      <c r="H292" t="s">
        <v>47</v>
      </c>
      <c r="I292" t="str">
        <f>_xlfn.XLOOKUP(H292,Charge_Reference!A:A,Charge_Reference!B:B)</f>
        <v>Dental Cleaning</v>
      </c>
      <c r="J292" s="8">
        <v>-95.172700000000006</v>
      </c>
      <c r="K292" t="s">
        <v>7</v>
      </c>
      <c r="L292" t="str">
        <f t="shared" si="4"/>
        <v>No instructions needed</v>
      </c>
    </row>
    <row r="293" spans="1:12" x14ac:dyDescent="0.3">
      <c r="A293">
        <v>292</v>
      </c>
      <c r="B293">
        <v>172</v>
      </c>
      <c r="C293">
        <v>55</v>
      </c>
      <c r="D293" t="s">
        <v>37</v>
      </c>
      <c r="E293" t="s">
        <v>41</v>
      </c>
      <c r="F293" t="s">
        <v>45</v>
      </c>
      <c r="G293" t="s">
        <v>250</v>
      </c>
      <c r="H293" t="s">
        <v>51</v>
      </c>
      <c r="I293" t="str">
        <f>_xlfn.XLOOKUP(H293,Charge_Reference!A:A,Charge_Reference!B:B)</f>
        <v>Radiographs</v>
      </c>
      <c r="J293" s="8">
        <v>367.21850000000001</v>
      </c>
      <c r="K293" t="s">
        <v>3</v>
      </c>
      <c r="L293" t="str">
        <f t="shared" si="4"/>
        <v>No instructions needed</v>
      </c>
    </row>
    <row r="294" spans="1:12" x14ac:dyDescent="0.3">
      <c r="A294">
        <v>293</v>
      </c>
      <c r="B294">
        <v>189</v>
      </c>
      <c r="C294">
        <v>3</v>
      </c>
      <c r="D294" t="s">
        <v>147</v>
      </c>
      <c r="E294" t="s">
        <v>29</v>
      </c>
      <c r="F294" t="s">
        <v>131</v>
      </c>
      <c r="G294" t="s">
        <v>296</v>
      </c>
      <c r="H294" t="s">
        <v>55</v>
      </c>
      <c r="I294" t="str">
        <f>_xlfn.XLOOKUP(H294,Charge_Reference!A:A,Charge_Reference!B:B)</f>
        <v>Vaccination</v>
      </c>
      <c r="J294" s="8">
        <v>898.85929999999996</v>
      </c>
      <c r="K294" t="s">
        <v>5</v>
      </c>
      <c r="L294" t="str">
        <f t="shared" si="4"/>
        <v>No instructions needed</v>
      </c>
    </row>
    <row r="295" spans="1:12" x14ac:dyDescent="0.3">
      <c r="A295">
        <v>294</v>
      </c>
      <c r="B295">
        <v>66</v>
      </c>
      <c r="C295">
        <v>3</v>
      </c>
      <c r="D295" t="s">
        <v>217</v>
      </c>
      <c r="E295" t="s">
        <v>41</v>
      </c>
      <c r="F295" t="s">
        <v>111</v>
      </c>
      <c r="G295" t="s">
        <v>322</v>
      </c>
      <c r="H295" t="s">
        <v>55</v>
      </c>
      <c r="I295" t="str">
        <f>_xlfn.XLOOKUP(H295,Charge_Reference!A:A,Charge_Reference!B:B)</f>
        <v>Vaccination</v>
      </c>
      <c r="J295" s="8">
        <v>-213.45570000000001</v>
      </c>
      <c r="K295" t="s">
        <v>5</v>
      </c>
      <c r="L295" t="str">
        <f t="shared" si="4"/>
        <v>No instructions needed</v>
      </c>
    </row>
    <row r="296" spans="1:12" x14ac:dyDescent="0.3">
      <c r="A296">
        <v>295</v>
      </c>
      <c r="B296">
        <v>190</v>
      </c>
      <c r="C296">
        <v>65</v>
      </c>
      <c r="D296" t="s">
        <v>65</v>
      </c>
      <c r="E296" t="s">
        <v>41</v>
      </c>
      <c r="F296" t="s">
        <v>145</v>
      </c>
      <c r="G296" t="s">
        <v>323</v>
      </c>
      <c r="H296" t="s">
        <v>59</v>
      </c>
      <c r="I296" t="str">
        <f>_xlfn.XLOOKUP(H296,Charge_Reference!A:A,Charge_Reference!B:B)</f>
        <v>Office Visit</v>
      </c>
      <c r="J296" s="8">
        <v>336.76499999999999</v>
      </c>
      <c r="K296" t="s">
        <v>7</v>
      </c>
      <c r="L296" t="str">
        <f t="shared" si="4"/>
        <v>No instructions needed</v>
      </c>
    </row>
    <row r="297" spans="1:12" x14ac:dyDescent="0.3">
      <c r="A297">
        <v>296</v>
      </c>
      <c r="B297">
        <v>90</v>
      </c>
      <c r="C297">
        <v>25</v>
      </c>
      <c r="D297" t="s">
        <v>68</v>
      </c>
      <c r="E297" t="s">
        <v>41</v>
      </c>
      <c r="F297" t="s">
        <v>76</v>
      </c>
      <c r="G297" t="s">
        <v>324</v>
      </c>
      <c r="H297" t="s">
        <v>36</v>
      </c>
      <c r="I297" t="str">
        <f>_xlfn.XLOOKUP(H297,Charge_Reference!A:A,Charge_Reference!B:B)</f>
        <v>Emergency Visit</v>
      </c>
      <c r="J297" s="8">
        <v>678.88459999999998</v>
      </c>
      <c r="K297" t="s">
        <v>5</v>
      </c>
      <c r="L297" t="str">
        <f t="shared" si="4"/>
        <v>No instructions needed</v>
      </c>
    </row>
    <row r="298" spans="1:12" x14ac:dyDescent="0.3">
      <c r="A298">
        <v>297</v>
      </c>
      <c r="B298">
        <v>45</v>
      </c>
      <c r="C298">
        <v>54</v>
      </c>
      <c r="D298" t="s">
        <v>217</v>
      </c>
      <c r="E298" t="s">
        <v>29</v>
      </c>
      <c r="F298" t="s">
        <v>34</v>
      </c>
      <c r="G298" t="s">
        <v>325</v>
      </c>
      <c r="H298" t="s">
        <v>64</v>
      </c>
      <c r="I298" t="str">
        <f>_xlfn.XLOOKUP(H298,Charge_Reference!A:A,Charge_Reference!B:B)</f>
        <v>Nail Trim</v>
      </c>
      <c r="J298" s="8">
        <v>910.04070000000002</v>
      </c>
      <c r="K298" t="s">
        <v>5</v>
      </c>
      <c r="L298" t="str">
        <f t="shared" si="4"/>
        <v>No instructions needed</v>
      </c>
    </row>
    <row r="299" spans="1:12" x14ac:dyDescent="0.3">
      <c r="A299">
        <v>298</v>
      </c>
      <c r="B299">
        <v>63</v>
      </c>
      <c r="C299">
        <v>31</v>
      </c>
      <c r="D299" t="s">
        <v>162</v>
      </c>
      <c r="E299" t="s">
        <v>41</v>
      </c>
      <c r="F299" t="s">
        <v>94</v>
      </c>
      <c r="G299" t="s">
        <v>117</v>
      </c>
      <c r="H299" t="s">
        <v>59</v>
      </c>
      <c r="I299" t="str">
        <f>_xlfn.XLOOKUP(H299,Charge_Reference!A:A,Charge_Reference!B:B)</f>
        <v>Office Visit</v>
      </c>
      <c r="J299" s="8">
        <v>390.45460000000003</v>
      </c>
      <c r="K299" t="s">
        <v>3</v>
      </c>
      <c r="L299" t="str">
        <f t="shared" si="4"/>
        <v>No instructions needed</v>
      </c>
    </row>
    <row r="300" spans="1:12" x14ac:dyDescent="0.3">
      <c r="A300">
        <v>299</v>
      </c>
      <c r="B300">
        <v>55</v>
      </c>
      <c r="C300">
        <v>54</v>
      </c>
      <c r="D300" t="s">
        <v>89</v>
      </c>
      <c r="E300" t="s">
        <v>29</v>
      </c>
      <c r="F300" t="s">
        <v>76</v>
      </c>
      <c r="G300" t="s">
        <v>103</v>
      </c>
      <c r="H300" t="s">
        <v>32</v>
      </c>
      <c r="I300" t="str">
        <f>_xlfn.XLOOKUP(H300,Charge_Reference!A:A,Charge_Reference!B:B)</f>
        <v>Surgery</v>
      </c>
      <c r="J300" s="8">
        <v>174.50280000000001</v>
      </c>
      <c r="K300" t="s">
        <v>3</v>
      </c>
      <c r="L300" t="str">
        <f t="shared" si="4"/>
        <v>Needs TGH instructions</v>
      </c>
    </row>
    <row r="301" spans="1:12" x14ac:dyDescent="0.3">
      <c r="A301">
        <v>300</v>
      </c>
      <c r="B301">
        <v>154</v>
      </c>
      <c r="C301">
        <v>59</v>
      </c>
      <c r="D301" t="s">
        <v>185</v>
      </c>
      <c r="E301" t="s">
        <v>29</v>
      </c>
      <c r="F301" t="s">
        <v>76</v>
      </c>
      <c r="G301" t="s">
        <v>157</v>
      </c>
      <c r="H301" t="s">
        <v>59</v>
      </c>
      <c r="I301" t="str">
        <f>_xlfn.XLOOKUP(H301,Charge_Reference!A:A,Charge_Reference!B:B)</f>
        <v>Office Visit</v>
      </c>
      <c r="J301" s="8">
        <v>759.76919999999996</v>
      </c>
      <c r="K301" t="s">
        <v>7</v>
      </c>
      <c r="L301" t="str">
        <f t="shared" si="4"/>
        <v>No instructions needed</v>
      </c>
    </row>
    <row r="302" spans="1:12" x14ac:dyDescent="0.3">
      <c r="A302">
        <v>301</v>
      </c>
      <c r="B302">
        <v>37</v>
      </c>
      <c r="C302">
        <v>78</v>
      </c>
      <c r="D302" t="s">
        <v>84</v>
      </c>
      <c r="E302" t="s">
        <v>41</v>
      </c>
      <c r="F302" t="s">
        <v>107</v>
      </c>
      <c r="G302" t="s">
        <v>255</v>
      </c>
      <c r="H302" t="s">
        <v>47</v>
      </c>
      <c r="I302" t="str">
        <f>_xlfn.XLOOKUP(H302,Charge_Reference!A:A,Charge_Reference!B:B)</f>
        <v>Dental Cleaning</v>
      </c>
      <c r="J302" s="8">
        <v>730.35530000000006</v>
      </c>
      <c r="K302" t="s">
        <v>7</v>
      </c>
      <c r="L302" t="str">
        <f t="shared" si="4"/>
        <v>No instructions needed</v>
      </c>
    </row>
    <row r="303" spans="1:12" x14ac:dyDescent="0.3">
      <c r="A303">
        <v>302</v>
      </c>
      <c r="B303">
        <v>40</v>
      </c>
      <c r="C303">
        <v>48</v>
      </c>
      <c r="D303" t="s">
        <v>115</v>
      </c>
      <c r="E303" t="s">
        <v>41</v>
      </c>
      <c r="F303" t="s">
        <v>61</v>
      </c>
      <c r="G303" t="s">
        <v>326</v>
      </c>
      <c r="H303" t="s">
        <v>40</v>
      </c>
      <c r="I303" t="str">
        <f>_xlfn.XLOOKUP(H303,Charge_Reference!A:A,Charge_Reference!B:B)</f>
        <v>Annual Bloodwork</v>
      </c>
      <c r="J303" s="8">
        <v>207.572</v>
      </c>
      <c r="K303" t="s">
        <v>7</v>
      </c>
      <c r="L303" t="str">
        <f t="shared" si="4"/>
        <v>No instructions needed</v>
      </c>
    </row>
    <row r="304" spans="1:12" x14ac:dyDescent="0.3">
      <c r="A304">
        <v>303</v>
      </c>
      <c r="B304">
        <v>128</v>
      </c>
      <c r="C304">
        <v>21</v>
      </c>
      <c r="D304" t="s">
        <v>147</v>
      </c>
      <c r="E304" t="s">
        <v>41</v>
      </c>
      <c r="F304" t="s">
        <v>145</v>
      </c>
      <c r="G304" t="s">
        <v>138</v>
      </c>
      <c r="H304" t="s">
        <v>40</v>
      </c>
      <c r="I304" t="str">
        <f>_xlfn.XLOOKUP(H304,Charge_Reference!A:A,Charge_Reference!B:B)</f>
        <v>Annual Bloodwork</v>
      </c>
      <c r="J304" s="8">
        <v>564.83489999999995</v>
      </c>
      <c r="K304" t="s">
        <v>5</v>
      </c>
      <c r="L304" t="str">
        <f t="shared" si="4"/>
        <v>No instructions needed</v>
      </c>
    </row>
    <row r="305" spans="1:12" x14ac:dyDescent="0.3">
      <c r="A305">
        <v>304</v>
      </c>
      <c r="B305">
        <v>147</v>
      </c>
      <c r="C305">
        <v>80</v>
      </c>
      <c r="D305" t="s">
        <v>217</v>
      </c>
      <c r="E305" t="s">
        <v>41</v>
      </c>
      <c r="F305" t="s">
        <v>171</v>
      </c>
      <c r="G305" t="s">
        <v>327</v>
      </c>
      <c r="H305" t="s">
        <v>51</v>
      </c>
      <c r="I305" t="str">
        <f>_xlfn.XLOOKUP(H305,Charge_Reference!A:A,Charge_Reference!B:B)</f>
        <v>Radiographs</v>
      </c>
      <c r="J305" s="8">
        <v>673.06669999999997</v>
      </c>
      <c r="K305" t="s">
        <v>5</v>
      </c>
      <c r="L305" t="str">
        <f t="shared" si="4"/>
        <v>No instructions needed</v>
      </c>
    </row>
    <row r="306" spans="1:12" x14ac:dyDescent="0.3">
      <c r="A306">
        <v>305</v>
      </c>
      <c r="B306">
        <v>161</v>
      </c>
      <c r="C306">
        <v>2</v>
      </c>
      <c r="D306" t="s">
        <v>109</v>
      </c>
      <c r="E306" t="s">
        <v>29</v>
      </c>
      <c r="F306" t="s">
        <v>73</v>
      </c>
      <c r="G306" t="s">
        <v>328</v>
      </c>
      <c r="H306" t="s">
        <v>64</v>
      </c>
      <c r="I306" t="str">
        <f>_xlfn.XLOOKUP(H306,Charge_Reference!A:A,Charge_Reference!B:B)</f>
        <v>Nail Trim</v>
      </c>
      <c r="J306" s="8">
        <v>482.56450000000001</v>
      </c>
      <c r="K306" t="s">
        <v>5</v>
      </c>
      <c r="L306" t="str">
        <f t="shared" si="4"/>
        <v>No instructions needed</v>
      </c>
    </row>
    <row r="307" spans="1:12" x14ac:dyDescent="0.3">
      <c r="A307">
        <v>306</v>
      </c>
      <c r="B307">
        <v>72</v>
      </c>
      <c r="C307">
        <v>143</v>
      </c>
      <c r="D307" t="s">
        <v>244</v>
      </c>
      <c r="E307" t="s">
        <v>41</v>
      </c>
      <c r="F307" t="s">
        <v>104</v>
      </c>
      <c r="G307" t="s">
        <v>309</v>
      </c>
      <c r="H307" t="s">
        <v>64</v>
      </c>
      <c r="I307" t="str">
        <f>_xlfn.XLOOKUP(H307,Charge_Reference!A:A,Charge_Reference!B:B)</f>
        <v>Nail Trim</v>
      </c>
      <c r="J307" s="8">
        <v>-275.05759999999998</v>
      </c>
      <c r="K307" t="s">
        <v>5</v>
      </c>
      <c r="L307" t="str">
        <f t="shared" si="4"/>
        <v>No instructions needed</v>
      </c>
    </row>
    <row r="308" spans="1:12" x14ac:dyDescent="0.3">
      <c r="A308">
        <v>307</v>
      </c>
      <c r="B308">
        <v>98</v>
      </c>
      <c r="C308">
        <v>133</v>
      </c>
      <c r="D308" t="s">
        <v>33</v>
      </c>
      <c r="E308" t="s">
        <v>41</v>
      </c>
      <c r="F308" t="s">
        <v>107</v>
      </c>
      <c r="G308" t="s">
        <v>329</v>
      </c>
      <c r="H308" t="s">
        <v>32</v>
      </c>
      <c r="I308" t="str">
        <f>_xlfn.XLOOKUP(H308,Charge_Reference!A:A,Charge_Reference!B:B)</f>
        <v>Surgery</v>
      </c>
      <c r="J308" s="8">
        <v>898.55050000000006</v>
      </c>
      <c r="K308" t="s">
        <v>5</v>
      </c>
      <c r="L308" t="str">
        <f t="shared" si="4"/>
        <v>Needs TGH instructions</v>
      </c>
    </row>
    <row r="309" spans="1:12" x14ac:dyDescent="0.3">
      <c r="A309">
        <v>308</v>
      </c>
      <c r="B309">
        <v>23</v>
      </c>
      <c r="C309">
        <v>135</v>
      </c>
      <c r="D309" t="s">
        <v>96</v>
      </c>
      <c r="E309" t="s">
        <v>41</v>
      </c>
      <c r="F309" t="s">
        <v>151</v>
      </c>
      <c r="G309" t="s">
        <v>167</v>
      </c>
      <c r="H309" t="s">
        <v>51</v>
      </c>
      <c r="I309" t="str">
        <f>_xlfn.XLOOKUP(H309,Charge_Reference!A:A,Charge_Reference!B:B)</f>
        <v>Radiographs</v>
      </c>
      <c r="J309" s="8">
        <v>110.95010000000001</v>
      </c>
      <c r="K309" t="s">
        <v>3</v>
      </c>
      <c r="L309" t="str">
        <f t="shared" si="4"/>
        <v>No instructions needed</v>
      </c>
    </row>
    <row r="310" spans="1:12" x14ac:dyDescent="0.3">
      <c r="A310">
        <v>309</v>
      </c>
      <c r="B310">
        <v>96</v>
      </c>
      <c r="C310">
        <v>83</v>
      </c>
      <c r="D310" t="s">
        <v>48</v>
      </c>
      <c r="E310" t="s">
        <v>29</v>
      </c>
      <c r="F310" t="s">
        <v>30</v>
      </c>
      <c r="G310" t="s">
        <v>330</v>
      </c>
      <c r="H310" t="s">
        <v>51</v>
      </c>
      <c r="I310" t="str">
        <f>_xlfn.XLOOKUP(H310,Charge_Reference!A:A,Charge_Reference!B:B)</f>
        <v>Radiographs</v>
      </c>
      <c r="J310" s="8">
        <v>965.85090000000002</v>
      </c>
      <c r="K310" t="s">
        <v>7</v>
      </c>
      <c r="L310" t="str">
        <f t="shared" si="4"/>
        <v>No instructions needed</v>
      </c>
    </row>
    <row r="311" spans="1:12" x14ac:dyDescent="0.3">
      <c r="A311">
        <v>310</v>
      </c>
      <c r="B311">
        <v>192</v>
      </c>
      <c r="C311">
        <v>139</v>
      </c>
      <c r="D311" t="s">
        <v>60</v>
      </c>
      <c r="E311" t="s">
        <v>29</v>
      </c>
      <c r="F311" t="s">
        <v>45</v>
      </c>
      <c r="G311" t="s">
        <v>136</v>
      </c>
      <c r="H311" t="s">
        <v>47</v>
      </c>
      <c r="I311" t="str">
        <f>_xlfn.XLOOKUP(H311,Charge_Reference!A:A,Charge_Reference!B:B)</f>
        <v>Dental Cleaning</v>
      </c>
      <c r="J311" s="8">
        <v>953.96410000000003</v>
      </c>
      <c r="K311" t="s">
        <v>3</v>
      </c>
      <c r="L311" t="str">
        <f t="shared" si="4"/>
        <v>No instructions needed</v>
      </c>
    </row>
    <row r="312" spans="1:12" x14ac:dyDescent="0.3">
      <c r="A312">
        <v>311</v>
      </c>
      <c r="B312">
        <v>43</v>
      </c>
      <c r="C312">
        <v>147</v>
      </c>
      <c r="D312" t="s">
        <v>149</v>
      </c>
      <c r="E312" t="s">
        <v>41</v>
      </c>
      <c r="F312" t="s">
        <v>104</v>
      </c>
      <c r="G312" t="s">
        <v>331</v>
      </c>
      <c r="H312" t="s">
        <v>59</v>
      </c>
      <c r="I312" t="str">
        <f>_xlfn.XLOOKUP(H312,Charge_Reference!A:A,Charge_Reference!B:B)</f>
        <v>Office Visit</v>
      </c>
      <c r="J312" s="8">
        <v>355.37060000000002</v>
      </c>
      <c r="K312" t="s">
        <v>5</v>
      </c>
      <c r="L312" t="str">
        <f t="shared" si="4"/>
        <v>No instructions needed</v>
      </c>
    </row>
    <row r="313" spans="1:12" x14ac:dyDescent="0.3">
      <c r="A313">
        <v>312</v>
      </c>
      <c r="B313">
        <v>193</v>
      </c>
      <c r="C313">
        <v>5</v>
      </c>
      <c r="D313" t="s">
        <v>130</v>
      </c>
      <c r="E313" t="s">
        <v>29</v>
      </c>
      <c r="F313" t="s">
        <v>107</v>
      </c>
      <c r="G313" t="s">
        <v>332</v>
      </c>
      <c r="H313" t="s">
        <v>32</v>
      </c>
      <c r="I313" t="str">
        <f>_xlfn.XLOOKUP(H313,Charge_Reference!A:A,Charge_Reference!B:B)</f>
        <v>Surgery</v>
      </c>
      <c r="J313" s="8">
        <v>976.36220000000003</v>
      </c>
      <c r="K313" t="s">
        <v>3</v>
      </c>
      <c r="L313" t="str">
        <f t="shared" si="4"/>
        <v>Needs TGH instructions</v>
      </c>
    </row>
    <row r="314" spans="1:12" x14ac:dyDescent="0.3">
      <c r="A314">
        <v>313</v>
      </c>
      <c r="B314">
        <v>85</v>
      </c>
      <c r="C314">
        <v>92</v>
      </c>
      <c r="D314" t="s">
        <v>109</v>
      </c>
      <c r="E314" t="s">
        <v>41</v>
      </c>
      <c r="F314" t="s">
        <v>111</v>
      </c>
      <c r="G314" t="s">
        <v>333</v>
      </c>
      <c r="H314" t="s">
        <v>64</v>
      </c>
      <c r="I314" t="str">
        <f>_xlfn.XLOOKUP(H314,Charge_Reference!A:A,Charge_Reference!B:B)</f>
        <v>Nail Trim</v>
      </c>
      <c r="J314" s="8">
        <v>543.1345</v>
      </c>
      <c r="K314" t="s">
        <v>5</v>
      </c>
      <c r="L314" t="str">
        <f t="shared" si="4"/>
        <v>No instructions needed</v>
      </c>
    </row>
    <row r="315" spans="1:12" x14ac:dyDescent="0.3">
      <c r="A315">
        <v>314</v>
      </c>
      <c r="B315">
        <v>125</v>
      </c>
      <c r="C315">
        <v>46</v>
      </c>
      <c r="D315" t="s">
        <v>230</v>
      </c>
      <c r="E315" t="s">
        <v>41</v>
      </c>
      <c r="F315" t="s">
        <v>131</v>
      </c>
      <c r="G315" t="s">
        <v>334</v>
      </c>
      <c r="H315" t="s">
        <v>32</v>
      </c>
      <c r="I315" t="str">
        <f>_xlfn.XLOOKUP(H315,Charge_Reference!A:A,Charge_Reference!B:B)</f>
        <v>Surgery</v>
      </c>
      <c r="J315" s="8">
        <v>557.70889999999997</v>
      </c>
      <c r="K315" t="s">
        <v>5</v>
      </c>
      <c r="L315" t="str">
        <f t="shared" si="4"/>
        <v>Needs TGH instructions</v>
      </c>
    </row>
    <row r="316" spans="1:12" x14ac:dyDescent="0.3">
      <c r="A316">
        <v>315</v>
      </c>
      <c r="B316">
        <v>98</v>
      </c>
      <c r="C316">
        <v>18</v>
      </c>
      <c r="D316" t="s">
        <v>244</v>
      </c>
      <c r="E316" t="s">
        <v>41</v>
      </c>
      <c r="F316" t="s">
        <v>61</v>
      </c>
      <c r="G316" t="s">
        <v>335</v>
      </c>
      <c r="H316" t="s">
        <v>51</v>
      </c>
      <c r="I316" t="str">
        <f>_xlfn.XLOOKUP(H316,Charge_Reference!A:A,Charge_Reference!B:B)</f>
        <v>Radiographs</v>
      </c>
      <c r="J316" s="8">
        <v>229.7696</v>
      </c>
      <c r="K316" t="s">
        <v>3</v>
      </c>
      <c r="L316" t="str">
        <f t="shared" si="4"/>
        <v>No instructions needed</v>
      </c>
    </row>
    <row r="317" spans="1:12" x14ac:dyDescent="0.3">
      <c r="A317">
        <v>316</v>
      </c>
      <c r="B317">
        <v>117</v>
      </c>
      <c r="C317">
        <v>36</v>
      </c>
      <c r="D317" t="s">
        <v>99</v>
      </c>
      <c r="E317" t="s">
        <v>41</v>
      </c>
      <c r="F317" t="s">
        <v>57</v>
      </c>
      <c r="G317" t="s">
        <v>302</v>
      </c>
      <c r="H317" t="s">
        <v>40</v>
      </c>
      <c r="I317" t="str">
        <f>_xlfn.XLOOKUP(H317,Charge_Reference!A:A,Charge_Reference!B:B)</f>
        <v>Annual Bloodwork</v>
      </c>
      <c r="J317" s="8">
        <v>557.04489999999998</v>
      </c>
      <c r="K317" t="s">
        <v>5</v>
      </c>
      <c r="L317" t="str">
        <f t="shared" si="4"/>
        <v>No instructions needed</v>
      </c>
    </row>
    <row r="318" spans="1:12" x14ac:dyDescent="0.3">
      <c r="A318">
        <v>317</v>
      </c>
      <c r="B318">
        <v>143</v>
      </c>
      <c r="C318">
        <v>83</v>
      </c>
      <c r="D318" t="s">
        <v>128</v>
      </c>
      <c r="E318" t="s">
        <v>41</v>
      </c>
      <c r="F318" t="s">
        <v>53</v>
      </c>
      <c r="G318" t="s">
        <v>110</v>
      </c>
      <c r="H318" t="s">
        <v>55</v>
      </c>
      <c r="I318" t="str">
        <f>_xlfn.XLOOKUP(H318,Charge_Reference!A:A,Charge_Reference!B:B)</f>
        <v>Vaccination</v>
      </c>
      <c r="J318" s="8">
        <v>-278.596</v>
      </c>
      <c r="K318" t="s">
        <v>5</v>
      </c>
      <c r="L318" t="str">
        <f t="shared" si="4"/>
        <v>No instructions needed</v>
      </c>
    </row>
    <row r="319" spans="1:12" x14ac:dyDescent="0.3">
      <c r="A319">
        <v>318</v>
      </c>
      <c r="B319">
        <v>30</v>
      </c>
      <c r="C319">
        <v>121</v>
      </c>
      <c r="D319" t="s">
        <v>28</v>
      </c>
      <c r="E319" t="s">
        <v>29</v>
      </c>
      <c r="F319" t="s">
        <v>131</v>
      </c>
      <c r="G319" t="s">
        <v>336</v>
      </c>
      <c r="H319" t="s">
        <v>47</v>
      </c>
      <c r="I319" t="str">
        <f>_xlfn.XLOOKUP(H319,Charge_Reference!A:A,Charge_Reference!B:B)</f>
        <v>Dental Cleaning</v>
      </c>
      <c r="J319" s="8">
        <v>353.97919999999999</v>
      </c>
      <c r="K319" t="s">
        <v>3</v>
      </c>
      <c r="L319" t="str">
        <f t="shared" si="4"/>
        <v>No instructions needed</v>
      </c>
    </row>
    <row r="320" spans="1:12" x14ac:dyDescent="0.3">
      <c r="A320">
        <v>319</v>
      </c>
      <c r="B320">
        <v>119</v>
      </c>
      <c r="C320">
        <v>135</v>
      </c>
      <c r="D320" t="s">
        <v>126</v>
      </c>
      <c r="E320" t="s">
        <v>29</v>
      </c>
      <c r="F320" t="s">
        <v>66</v>
      </c>
      <c r="G320" t="s">
        <v>255</v>
      </c>
      <c r="H320" t="s">
        <v>40</v>
      </c>
      <c r="I320" t="str">
        <f>_xlfn.XLOOKUP(H320,Charge_Reference!A:A,Charge_Reference!B:B)</f>
        <v>Annual Bloodwork</v>
      </c>
      <c r="J320" s="8">
        <v>433.38900000000001</v>
      </c>
      <c r="K320" t="s">
        <v>7</v>
      </c>
      <c r="L320" t="str">
        <f t="shared" si="4"/>
        <v>No instructions needed</v>
      </c>
    </row>
    <row r="321" spans="1:12" x14ac:dyDescent="0.3">
      <c r="A321">
        <v>320</v>
      </c>
      <c r="B321">
        <v>138</v>
      </c>
      <c r="C321">
        <v>20</v>
      </c>
      <c r="D321" t="s">
        <v>37</v>
      </c>
      <c r="E321" t="s">
        <v>41</v>
      </c>
      <c r="F321" t="s">
        <v>151</v>
      </c>
      <c r="G321" t="s">
        <v>95</v>
      </c>
      <c r="H321" t="s">
        <v>51</v>
      </c>
      <c r="I321" t="str">
        <f>_xlfn.XLOOKUP(H321,Charge_Reference!A:A,Charge_Reference!B:B)</f>
        <v>Radiographs</v>
      </c>
      <c r="J321" s="8">
        <v>-151.85919999999999</v>
      </c>
      <c r="K321" t="s">
        <v>5</v>
      </c>
      <c r="L321" t="str">
        <f t="shared" si="4"/>
        <v>No instructions needed</v>
      </c>
    </row>
    <row r="322" spans="1:12" x14ac:dyDescent="0.3">
      <c r="A322">
        <v>321</v>
      </c>
      <c r="B322">
        <v>17</v>
      </c>
      <c r="C322">
        <v>96</v>
      </c>
      <c r="D322" t="s">
        <v>220</v>
      </c>
      <c r="E322" t="s">
        <v>29</v>
      </c>
      <c r="F322" t="s">
        <v>107</v>
      </c>
      <c r="G322" t="s">
        <v>337</v>
      </c>
      <c r="H322" t="s">
        <v>51</v>
      </c>
      <c r="I322" t="str">
        <f>_xlfn.XLOOKUP(H322,Charge_Reference!A:A,Charge_Reference!B:B)</f>
        <v>Radiographs</v>
      </c>
      <c r="J322" s="8">
        <v>-1.8952</v>
      </c>
      <c r="K322" t="s">
        <v>7</v>
      </c>
      <c r="L322" t="str">
        <f t="shared" si="4"/>
        <v>No instructions needed</v>
      </c>
    </row>
    <row r="323" spans="1:12" x14ac:dyDescent="0.3">
      <c r="A323">
        <v>322</v>
      </c>
      <c r="B323">
        <v>157</v>
      </c>
      <c r="C323">
        <v>25</v>
      </c>
      <c r="D323" t="s">
        <v>128</v>
      </c>
      <c r="E323" t="s">
        <v>29</v>
      </c>
      <c r="F323" t="s">
        <v>107</v>
      </c>
      <c r="G323" t="s">
        <v>336</v>
      </c>
      <c r="H323" t="s">
        <v>36</v>
      </c>
      <c r="I323" t="str">
        <f>_xlfn.XLOOKUP(H323,Charge_Reference!A:A,Charge_Reference!B:B)</f>
        <v>Emergency Visit</v>
      </c>
      <c r="J323" s="8">
        <v>974.86220000000003</v>
      </c>
      <c r="K323" t="s">
        <v>5</v>
      </c>
      <c r="L323" t="str">
        <f t="shared" ref="L323:L386" si="5">IF(I323 = "Surgery", "Needs TGH instructions", "No instructions needed")</f>
        <v>No instructions needed</v>
      </c>
    </row>
    <row r="324" spans="1:12" x14ac:dyDescent="0.3">
      <c r="A324">
        <v>323</v>
      </c>
      <c r="B324">
        <v>16</v>
      </c>
      <c r="C324">
        <v>79</v>
      </c>
      <c r="D324" t="s">
        <v>44</v>
      </c>
      <c r="E324" t="s">
        <v>41</v>
      </c>
      <c r="F324" t="s">
        <v>160</v>
      </c>
      <c r="G324" t="s">
        <v>338</v>
      </c>
      <c r="H324" t="s">
        <v>64</v>
      </c>
      <c r="I324" t="str">
        <f>_xlfn.XLOOKUP(H324,Charge_Reference!A:A,Charge_Reference!B:B)</f>
        <v>Nail Trim</v>
      </c>
      <c r="J324" s="8">
        <v>76.698400000000007</v>
      </c>
      <c r="K324" t="s">
        <v>3</v>
      </c>
      <c r="L324" t="str">
        <f t="shared" si="5"/>
        <v>No instructions needed</v>
      </c>
    </row>
    <row r="325" spans="1:12" x14ac:dyDescent="0.3">
      <c r="A325">
        <v>324</v>
      </c>
      <c r="B325">
        <v>10</v>
      </c>
      <c r="C325">
        <v>133</v>
      </c>
      <c r="D325" t="s">
        <v>230</v>
      </c>
      <c r="E325" t="s">
        <v>41</v>
      </c>
      <c r="F325" t="s">
        <v>171</v>
      </c>
      <c r="G325" t="s">
        <v>225</v>
      </c>
      <c r="H325" t="s">
        <v>32</v>
      </c>
      <c r="I325" t="str">
        <f>_xlfn.XLOOKUP(H325,Charge_Reference!A:A,Charge_Reference!B:B)</f>
        <v>Surgery</v>
      </c>
      <c r="J325" s="8">
        <v>103.9965</v>
      </c>
      <c r="K325" t="s">
        <v>7</v>
      </c>
      <c r="L325" t="str">
        <f t="shared" si="5"/>
        <v>Needs TGH instructions</v>
      </c>
    </row>
    <row r="326" spans="1:12" x14ac:dyDescent="0.3">
      <c r="A326">
        <v>325</v>
      </c>
      <c r="B326">
        <v>144</v>
      </c>
      <c r="C326">
        <v>31</v>
      </c>
      <c r="D326" t="s">
        <v>56</v>
      </c>
      <c r="E326" t="s">
        <v>41</v>
      </c>
      <c r="F326" t="s">
        <v>102</v>
      </c>
      <c r="G326" t="s">
        <v>153</v>
      </c>
      <c r="H326" t="s">
        <v>47</v>
      </c>
      <c r="I326" t="str">
        <f>_xlfn.XLOOKUP(H326,Charge_Reference!A:A,Charge_Reference!B:B)</f>
        <v>Dental Cleaning</v>
      </c>
      <c r="J326" s="8">
        <v>836.17790000000002</v>
      </c>
      <c r="K326" t="s">
        <v>5</v>
      </c>
      <c r="L326" t="str">
        <f t="shared" si="5"/>
        <v>No instructions needed</v>
      </c>
    </row>
    <row r="327" spans="1:12" x14ac:dyDescent="0.3">
      <c r="A327">
        <v>326</v>
      </c>
      <c r="B327">
        <v>38</v>
      </c>
      <c r="C327">
        <v>102</v>
      </c>
      <c r="D327" t="s">
        <v>52</v>
      </c>
      <c r="E327" t="s">
        <v>29</v>
      </c>
      <c r="F327" t="s">
        <v>118</v>
      </c>
      <c r="G327" t="s">
        <v>339</v>
      </c>
      <c r="H327" t="s">
        <v>40</v>
      </c>
      <c r="I327" t="str">
        <f>_xlfn.XLOOKUP(H327,Charge_Reference!A:A,Charge_Reference!B:B)</f>
        <v>Annual Bloodwork</v>
      </c>
      <c r="J327" s="8">
        <v>812.47529999999995</v>
      </c>
      <c r="K327" t="s">
        <v>5</v>
      </c>
      <c r="L327" t="str">
        <f t="shared" si="5"/>
        <v>No instructions needed</v>
      </c>
    </row>
    <row r="328" spans="1:12" x14ac:dyDescent="0.3">
      <c r="A328">
        <v>327</v>
      </c>
      <c r="B328">
        <v>99</v>
      </c>
      <c r="C328">
        <v>127</v>
      </c>
      <c r="D328" t="s">
        <v>37</v>
      </c>
      <c r="E328" t="s">
        <v>41</v>
      </c>
      <c r="F328" t="s">
        <v>49</v>
      </c>
      <c r="G328" t="s">
        <v>174</v>
      </c>
      <c r="H328" t="s">
        <v>51</v>
      </c>
      <c r="I328" t="str">
        <f>_xlfn.XLOOKUP(H328,Charge_Reference!A:A,Charge_Reference!B:B)</f>
        <v>Radiographs</v>
      </c>
      <c r="J328" s="8">
        <v>501.78390000000002</v>
      </c>
      <c r="K328" t="s">
        <v>3</v>
      </c>
      <c r="L328" t="str">
        <f t="shared" si="5"/>
        <v>No instructions needed</v>
      </c>
    </row>
    <row r="329" spans="1:12" x14ac:dyDescent="0.3">
      <c r="A329">
        <v>328</v>
      </c>
      <c r="B329">
        <v>139</v>
      </c>
      <c r="C329">
        <v>45</v>
      </c>
      <c r="D329" t="s">
        <v>84</v>
      </c>
      <c r="E329" t="s">
        <v>29</v>
      </c>
      <c r="F329" t="s">
        <v>94</v>
      </c>
      <c r="G329" t="s">
        <v>62</v>
      </c>
      <c r="H329" t="s">
        <v>59</v>
      </c>
      <c r="I329" t="str">
        <f>_xlfn.XLOOKUP(H329,Charge_Reference!A:A,Charge_Reference!B:B)</f>
        <v>Office Visit</v>
      </c>
      <c r="J329" s="8">
        <v>-116.2628</v>
      </c>
      <c r="K329" t="s">
        <v>5</v>
      </c>
      <c r="L329" t="str">
        <f t="shared" si="5"/>
        <v>No instructions needed</v>
      </c>
    </row>
    <row r="330" spans="1:12" x14ac:dyDescent="0.3">
      <c r="A330">
        <v>329</v>
      </c>
      <c r="B330">
        <v>27</v>
      </c>
      <c r="C330">
        <v>142</v>
      </c>
      <c r="D330" t="s">
        <v>65</v>
      </c>
      <c r="E330" t="s">
        <v>29</v>
      </c>
      <c r="F330" t="s">
        <v>145</v>
      </c>
      <c r="G330" t="s">
        <v>302</v>
      </c>
      <c r="H330" t="s">
        <v>36</v>
      </c>
      <c r="I330" t="str">
        <f>_xlfn.XLOOKUP(H330,Charge_Reference!A:A,Charge_Reference!B:B)</f>
        <v>Emergency Visit</v>
      </c>
      <c r="J330" s="8">
        <v>200.91300000000001</v>
      </c>
      <c r="K330" t="s">
        <v>5</v>
      </c>
      <c r="L330" t="str">
        <f t="shared" si="5"/>
        <v>No instructions needed</v>
      </c>
    </row>
    <row r="331" spans="1:12" x14ac:dyDescent="0.3">
      <c r="A331">
        <v>330</v>
      </c>
      <c r="B331">
        <v>190</v>
      </c>
      <c r="C331">
        <v>110</v>
      </c>
      <c r="D331" t="s">
        <v>109</v>
      </c>
      <c r="E331" t="s">
        <v>41</v>
      </c>
      <c r="F331" t="s">
        <v>94</v>
      </c>
      <c r="G331" t="s">
        <v>340</v>
      </c>
      <c r="H331" t="s">
        <v>32</v>
      </c>
      <c r="I331" t="str">
        <f>_xlfn.XLOOKUP(H331,Charge_Reference!A:A,Charge_Reference!B:B)</f>
        <v>Surgery</v>
      </c>
      <c r="J331" s="8">
        <v>532.35450000000003</v>
      </c>
      <c r="K331" t="s">
        <v>7</v>
      </c>
      <c r="L331" t="str">
        <f t="shared" si="5"/>
        <v>Needs TGH instructions</v>
      </c>
    </row>
    <row r="332" spans="1:12" x14ac:dyDescent="0.3">
      <c r="A332">
        <v>331</v>
      </c>
      <c r="B332">
        <v>79</v>
      </c>
      <c r="C332">
        <v>37</v>
      </c>
      <c r="D332" t="s">
        <v>214</v>
      </c>
      <c r="E332" t="s">
        <v>41</v>
      </c>
      <c r="F332" t="s">
        <v>30</v>
      </c>
      <c r="G332" t="s">
        <v>331</v>
      </c>
      <c r="H332" t="s">
        <v>51</v>
      </c>
      <c r="I332" t="str">
        <f>_xlfn.XLOOKUP(H332,Charge_Reference!A:A,Charge_Reference!B:B)</f>
        <v>Radiographs</v>
      </c>
      <c r="J332" s="8">
        <v>648.24480000000005</v>
      </c>
      <c r="K332" t="s">
        <v>5</v>
      </c>
      <c r="L332" t="str">
        <f t="shared" si="5"/>
        <v>No instructions needed</v>
      </c>
    </row>
    <row r="333" spans="1:12" x14ac:dyDescent="0.3">
      <c r="A333">
        <v>332</v>
      </c>
      <c r="B333">
        <v>191</v>
      </c>
      <c r="C333">
        <v>107</v>
      </c>
      <c r="D333" t="s">
        <v>130</v>
      </c>
      <c r="E333" t="s">
        <v>29</v>
      </c>
      <c r="F333" t="s">
        <v>111</v>
      </c>
      <c r="G333" t="s">
        <v>341</v>
      </c>
      <c r="H333" t="s">
        <v>47</v>
      </c>
      <c r="I333" t="str">
        <f>_xlfn.XLOOKUP(H333,Charge_Reference!A:A,Charge_Reference!B:B)</f>
        <v>Dental Cleaning</v>
      </c>
      <c r="J333" s="8">
        <v>358.57369999999997</v>
      </c>
      <c r="K333" t="s">
        <v>3</v>
      </c>
      <c r="L333" t="str">
        <f t="shared" si="5"/>
        <v>No instructions needed</v>
      </c>
    </row>
    <row r="334" spans="1:12" x14ac:dyDescent="0.3">
      <c r="A334">
        <v>333</v>
      </c>
      <c r="B334">
        <v>175</v>
      </c>
      <c r="C334">
        <v>28</v>
      </c>
      <c r="D334" t="s">
        <v>81</v>
      </c>
      <c r="E334" t="s">
        <v>29</v>
      </c>
      <c r="F334" t="s">
        <v>66</v>
      </c>
      <c r="G334" t="s">
        <v>203</v>
      </c>
      <c r="H334" t="s">
        <v>40</v>
      </c>
      <c r="I334" t="str">
        <f>_xlfn.XLOOKUP(H334,Charge_Reference!A:A,Charge_Reference!B:B)</f>
        <v>Annual Bloodwork</v>
      </c>
      <c r="J334" s="8">
        <v>574.57420000000002</v>
      </c>
      <c r="K334" t="s">
        <v>5</v>
      </c>
      <c r="L334" t="str">
        <f t="shared" si="5"/>
        <v>No instructions needed</v>
      </c>
    </row>
    <row r="335" spans="1:12" x14ac:dyDescent="0.3">
      <c r="A335">
        <v>334</v>
      </c>
      <c r="B335">
        <v>26</v>
      </c>
      <c r="C335">
        <v>81</v>
      </c>
      <c r="D335" t="s">
        <v>185</v>
      </c>
      <c r="E335" t="s">
        <v>29</v>
      </c>
      <c r="F335" t="s">
        <v>94</v>
      </c>
      <c r="G335" t="s">
        <v>129</v>
      </c>
      <c r="H335" t="s">
        <v>36</v>
      </c>
      <c r="I335" t="str">
        <f>_xlfn.XLOOKUP(H335,Charge_Reference!A:A,Charge_Reference!B:B)</f>
        <v>Emergency Visit</v>
      </c>
      <c r="J335" s="8">
        <v>387.77409999999998</v>
      </c>
      <c r="K335" t="s">
        <v>3</v>
      </c>
      <c r="L335" t="str">
        <f t="shared" si="5"/>
        <v>No instructions needed</v>
      </c>
    </row>
    <row r="336" spans="1:12" x14ac:dyDescent="0.3">
      <c r="A336">
        <v>335</v>
      </c>
      <c r="B336">
        <v>65</v>
      </c>
      <c r="C336">
        <v>103</v>
      </c>
      <c r="D336" t="s">
        <v>60</v>
      </c>
      <c r="E336" t="s">
        <v>29</v>
      </c>
      <c r="F336" t="s">
        <v>57</v>
      </c>
      <c r="G336" t="s">
        <v>136</v>
      </c>
      <c r="H336" t="s">
        <v>36</v>
      </c>
      <c r="I336" t="str">
        <f>_xlfn.XLOOKUP(H336,Charge_Reference!A:A,Charge_Reference!B:B)</f>
        <v>Emergency Visit</v>
      </c>
      <c r="J336" s="8">
        <v>939.76189999999997</v>
      </c>
      <c r="K336" t="s">
        <v>5</v>
      </c>
      <c r="L336" t="str">
        <f t="shared" si="5"/>
        <v>No instructions needed</v>
      </c>
    </row>
    <row r="337" spans="1:12" x14ac:dyDescent="0.3">
      <c r="A337">
        <v>336</v>
      </c>
      <c r="B337">
        <v>19</v>
      </c>
      <c r="C337">
        <v>81</v>
      </c>
      <c r="D337" t="s">
        <v>115</v>
      </c>
      <c r="E337" t="s">
        <v>29</v>
      </c>
      <c r="F337" t="s">
        <v>87</v>
      </c>
      <c r="G337" t="s">
        <v>342</v>
      </c>
      <c r="H337" t="s">
        <v>36</v>
      </c>
      <c r="I337" t="str">
        <f>_xlfn.XLOOKUP(H337,Charge_Reference!A:A,Charge_Reference!B:B)</f>
        <v>Emergency Visit</v>
      </c>
      <c r="J337" s="8">
        <v>569.54459999999995</v>
      </c>
      <c r="K337" t="s">
        <v>3</v>
      </c>
      <c r="L337" t="str">
        <f t="shared" si="5"/>
        <v>No instructions needed</v>
      </c>
    </row>
    <row r="338" spans="1:12" x14ac:dyDescent="0.3">
      <c r="A338">
        <v>337</v>
      </c>
      <c r="B338">
        <v>119</v>
      </c>
      <c r="C338">
        <v>51</v>
      </c>
      <c r="D338" t="s">
        <v>37</v>
      </c>
      <c r="E338" t="s">
        <v>41</v>
      </c>
      <c r="F338" t="s">
        <v>171</v>
      </c>
      <c r="G338" t="s">
        <v>334</v>
      </c>
      <c r="H338" t="s">
        <v>51</v>
      </c>
      <c r="I338" t="str">
        <f>_xlfn.XLOOKUP(H338,Charge_Reference!A:A,Charge_Reference!B:B)</f>
        <v>Radiographs</v>
      </c>
      <c r="J338" s="8">
        <v>833.15509999999995</v>
      </c>
      <c r="K338" t="s">
        <v>5</v>
      </c>
      <c r="L338" t="str">
        <f t="shared" si="5"/>
        <v>No instructions needed</v>
      </c>
    </row>
    <row r="339" spans="1:12" x14ac:dyDescent="0.3">
      <c r="A339">
        <v>338</v>
      </c>
      <c r="B339">
        <v>28</v>
      </c>
      <c r="C339">
        <v>71</v>
      </c>
      <c r="D339" t="s">
        <v>37</v>
      </c>
      <c r="E339" t="s">
        <v>29</v>
      </c>
      <c r="F339" t="s">
        <v>111</v>
      </c>
      <c r="G339" t="s">
        <v>238</v>
      </c>
      <c r="H339" t="s">
        <v>47</v>
      </c>
      <c r="I339" t="str">
        <f>_xlfn.XLOOKUP(H339,Charge_Reference!A:A,Charge_Reference!B:B)</f>
        <v>Dental Cleaning</v>
      </c>
      <c r="J339" s="8">
        <v>947.57910000000004</v>
      </c>
      <c r="K339" t="s">
        <v>5</v>
      </c>
      <c r="L339" t="str">
        <f t="shared" si="5"/>
        <v>No instructions needed</v>
      </c>
    </row>
    <row r="340" spans="1:12" x14ac:dyDescent="0.3">
      <c r="A340">
        <v>339</v>
      </c>
      <c r="B340">
        <v>22</v>
      </c>
      <c r="C340">
        <v>143</v>
      </c>
      <c r="D340" t="s">
        <v>93</v>
      </c>
      <c r="E340" t="s">
        <v>29</v>
      </c>
      <c r="F340" t="s">
        <v>145</v>
      </c>
      <c r="G340" t="s">
        <v>343</v>
      </c>
      <c r="H340" t="s">
        <v>47</v>
      </c>
      <c r="I340" t="str">
        <f>_xlfn.XLOOKUP(H340,Charge_Reference!A:A,Charge_Reference!B:B)</f>
        <v>Dental Cleaning</v>
      </c>
      <c r="J340" s="8">
        <v>-194.9599</v>
      </c>
      <c r="K340" t="s">
        <v>5</v>
      </c>
      <c r="L340" t="str">
        <f t="shared" si="5"/>
        <v>No instructions needed</v>
      </c>
    </row>
    <row r="341" spans="1:12" x14ac:dyDescent="0.3">
      <c r="A341">
        <v>340</v>
      </c>
      <c r="B341">
        <v>189</v>
      </c>
      <c r="C341">
        <v>103</v>
      </c>
      <c r="D341" t="s">
        <v>115</v>
      </c>
      <c r="E341" t="s">
        <v>41</v>
      </c>
      <c r="F341" t="s">
        <v>87</v>
      </c>
      <c r="G341" t="s">
        <v>161</v>
      </c>
      <c r="H341" t="s">
        <v>32</v>
      </c>
      <c r="I341" t="str">
        <f>_xlfn.XLOOKUP(H341,Charge_Reference!A:A,Charge_Reference!B:B)</f>
        <v>Surgery</v>
      </c>
      <c r="J341" s="8">
        <v>857.34169999999995</v>
      </c>
      <c r="K341" t="s">
        <v>5</v>
      </c>
      <c r="L341" t="str">
        <f t="shared" si="5"/>
        <v>Needs TGH instructions</v>
      </c>
    </row>
    <row r="342" spans="1:12" x14ac:dyDescent="0.3">
      <c r="A342">
        <v>341</v>
      </c>
      <c r="B342">
        <v>48</v>
      </c>
      <c r="C342">
        <v>46</v>
      </c>
      <c r="D342" t="s">
        <v>191</v>
      </c>
      <c r="E342" t="s">
        <v>29</v>
      </c>
      <c r="F342" t="s">
        <v>102</v>
      </c>
      <c r="G342" t="s">
        <v>344</v>
      </c>
      <c r="H342" t="s">
        <v>47</v>
      </c>
      <c r="I342" t="str">
        <f>_xlfn.XLOOKUP(H342,Charge_Reference!A:A,Charge_Reference!B:B)</f>
        <v>Dental Cleaning</v>
      </c>
      <c r="J342" s="8">
        <v>967.34190000000001</v>
      </c>
      <c r="K342" t="s">
        <v>7</v>
      </c>
      <c r="L342" t="str">
        <f t="shared" si="5"/>
        <v>No instructions needed</v>
      </c>
    </row>
    <row r="343" spans="1:12" x14ac:dyDescent="0.3">
      <c r="A343">
        <v>342</v>
      </c>
      <c r="B343">
        <v>40</v>
      </c>
      <c r="C343">
        <v>73</v>
      </c>
      <c r="D343" t="s">
        <v>147</v>
      </c>
      <c r="E343" t="s">
        <v>29</v>
      </c>
      <c r="F343" t="s">
        <v>49</v>
      </c>
      <c r="G343" t="s">
        <v>270</v>
      </c>
      <c r="H343" t="s">
        <v>47</v>
      </c>
      <c r="I343" t="str">
        <f>_xlfn.XLOOKUP(H343,Charge_Reference!A:A,Charge_Reference!B:B)</f>
        <v>Dental Cleaning</v>
      </c>
      <c r="J343" s="8">
        <v>5.3227000000000002</v>
      </c>
      <c r="K343" t="s">
        <v>3</v>
      </c>
      <c r="L343" t="str">
        <f t="shared" si="5"/>
        <v>No instructions needed</v>
      </c>
    </row>
    <row r="344" spans="1:12" x14ac:dyDescent="0.3">
      <c r="A344">
        <v>343</v>
      </c>
      <c r="B344">
        <v>99</v>
      </c>
      <c r="C344">
        <v>101</v>
      </c>
      <c r="D344" t="s">
        <v>139</v>
      </c>
      <c r="E344" t="s">
        <v>41</v>
      </c>
      <c r="F344" t="s">
        <v>118</v>
      </c>
      <c r="G344" t="s">
        <v>345</v>
      </c>
      <c r="H344" t="s">
        <v>59</v>
      </c>
      <c r="I344" t="str">
        <f>_xlfn.XLOOKUP(H344,Charge_Reference!A:A,Charge_Reference!B:B)</f>
        <v>Office Visit</v>
      </c>
      <c r="J344" s="8">
        <v>-44.123600000000003</v>
      </c>
      <c r="K344" t="s">
        <v>7</v>
      </c>
      <c r="L344" t="str">
        <f t="shared" si="5"/>
        <v>No instructions needed</v>
      </c>
    </row>
    <row r="345" spans="1:12" x14ac:dyDescent="0.3">
      <c r="A345">
        <v>344</v>
      </c>
      <c r="B345">
        <v>176</v>
      </c>
      <c r="C345">
        <v>111</v>
      </c>
      <c r="D345" t="s">
        <v>78</v>
      </c>
      <c r="E345" t="s">
        <v>41</v>
      </c>
      <c r="F345" t="s">
        <v>71</v>
      </c>
      <c r="G345" t="s">
        <v>346</v>
      </c>
      <c r="H345" t="s">
        <v>51</v>
      </c>
      <c r="I345" t="str">
        <f>_xlfn.XLOOKUP(H345,Charge_Reference!A:A,Charge_Reference!B:B)</f>
        <v>Radiographs</v>
      </c>
      <c r="J345" s="8">
        <v>-22.728400000000001</v>
      </c>
      <c r="K345" t="s">
        <v>7</v>
      </c>
      <c r="L345" t="str">
        <f t="shared" si="5"/>
        <v>No instructions needed</v>
      </c>
    </row>
    <row r="346" spans="1:12" x14ac:dyDescent="0.3">
      <c r="A346">
        <v>345</v>
      </c>
      <c r="B346">
        <v>182</v>
      </c>
      <c r="C346">
        <v>6</v>
      </c>
      <c r="D346" t="s">
        <v>179</v>
      </c>
      <c r="E346" t="s">
        <v>29</v>
      </c>
      <c r="F346" t="s">
        <v>104</v>
      </c>
      <c r="G346" t="s">
        <v>39</v>
      </c>
      <c r="H346" t="s">
        <v>47</v>
      </c>
      <c r="I346" t="str">
        <f>_xlfn.XLOOKUP(H346,Charge_Reference!A:A,Charge_Reference!B:B)</f>
        <v>Dental Cleaning</v>
      </c>
      <c r="J346" s="8">
        <v>-89.726699999999994</v>
      </c>
      <c r="K346" t="s">
        <v>7</v>
      </c>
      <c r="L346" t="str">
        <f t="shared" si="5"/>
        <v>No instructions needed</v>
      </c>
    </row>
    <row r="347" spans="1:12" x14ac:dyDescent="0.3">
      <c r="A347">
        <v>346</v>
      </c>
      <c r="B347">
        <v>182</v>
      </c>
      <c r="C347">
        <v>114</v>
      </c>
      <c r="D347" t="s">
        <v>70</v>
      </c>
      <c r="E347" t="s">
        <v>29</v>
      </c>
      <c r="F347" t="s">
        <v>151</v>
      </c>
      <c r="G347" t="s">
        <v>63</v>
      </c>
      <c r="H347" t="s">
        <v>64</v>
      </c>
      <c r="I347" t="str">
        <f>_xlfn.XLOOKUP(H347,Charge_Reference!A:A,Charge_Reference!B:B)</f>
        <v>Nail Trim</v>
      </c>
      <c r="J347" s="8">
        <v>-38.319600000000001</v>
      </c>
      <c r="K347" t="s">
        <v>5</v>
      </c>
      <c r="L347" t="str">
        <f t="shared" si="5"/>
        <v>No instructions needed</v>
      </c>
    </row>
    <row r="348" spans="1:12" x14ac:dyDescent="0.3">
      <c r="A348">
        <v>347</v>
      </c>
      <c r="B348">
        <v>136</v>
      </c>
      <c r="C348">
        <v>101</v>
      </c>
      <c r="D348" t="s">
        <v>211</v>
      </c>
      <c r="E348" t="s">
        <v>29</v>
      </c>
      <c r="F348" t="s">
        <v>94</v>
      </c>
      <c r="G348" t="s">
        <v>332</v>
      </c>
      <c r="H348" t="s">
        <v>40</v>
      </c>
      <c r="I348" t="str">
        <f>_xlfn.XLOOKUP(H348,Charge_Reference!A:A,Charge_Reference!B:B)</f>
        <v>Annual Bloodwork</v>
      </c>
      <c r="J348" s="8">
        <v>22.7257</v>
      </c>
      <c r="K348" t="s">
        <v>3</v>
      </c>
      <c r="L348" t="str">
        <f t="shared" si="5"/>
        <v>No instructions needed</v>
      </c>
    </row>
    <row r="349" spans="1:12" x14ac:dyDescent="0.3">
      <c r="A349">
        <v>348</v>
      </c>
      <c r="B349">
        <v>126</v>
      </c>
      <c r="C349">
        <v>105</v>
      </c>
      <c r="D349" t="s">
        <v>244</v>
      </c>
      <c r="E349" t="s">
        <v>29</v>
      </c>
      <c r="F349" t="s">
        <v>131</v>
      </c>
      <c r="G349" t="s">
        <v>228</v>
      </c>
      <c r="H349" t="s">
        <v>51</v>
      </c>
      <c r="I349" t="str">
        <f>_xlfn.XLOOKUP(H349,Charge_Reference!A:A,Charge_Reference!B:B)</f>
        <v>Radiographs</v>
      </c>
      <c r="J349" s="8">
        <v>448.85390000000001</v>
      </c>
      <c r="K349" t="s">
        <v>5</v>
      </c>
      <c r="L349" t="str">
        <f t="shared" si="5"/>
        <v>No instructions needed</v>
      </c>
    </row>
    <row r="350" spans="1:12" x14ac:dyDescent="0.3">
      <c r="A350">
        <v>349</v>
      </c>
      <c r="B350">
        <v>112</v>
      </c>
      <c r="C350">
        <v>57</v>
      </c>
      <c r="D350" t="s">
        <v>33</v>
      </c>
      <c r="E350" t="s">
        <v>29</v>
      </c>
      <c r="F350" t="s">
        <v>49</v>
      </c>
      <c r="G350" t="s">
        <v>159</v>
      </c>
      <c r="H350" t="s">
        <v>51</v>
      </c>
      <c r="I350" t="str">
        <f>_xlfn.XLOOKUP(H350,Charge_Reference!A:A,Charge_Reference!B:B)</f>
        <v>Radiographs</v>
      </c>
      <c r="J350" s="8">
        <v>575.71450000000004</v>
      </c>
      <c r="K350" t="s">
        <v>5</v>
      </c>
      <c r="L350" t="str">
        <f t="shared" si="5"/>
        <v>No instructions needed</v>
      </c>
    </row>
    <row r="351" spans="1:12" x14ac:dyDescent="0.3">
      <c r="A351">
        <v>350</v>
      </c>
      <c r="B351">
        <v>179</v>
      </c>
      <c r="C351">
        <v>58</v>
      </c>
      <c r="D351" t="s">
        <v>183</v>
      </c>
      <c r="E351" t="s">
        <v>29</v>
      </c>
      <c r="F351" t="s">
        <v>97</v>
      </c>
      <c r="G351" t="s">
        <v>286</v>
      </c>
      <c r="H351" t="s">
        <v>64</v>
      </c>
      <c r="I351" t="str">
        <f>_xlfn.XLOOKUP(H351,Charge_Reference!A:A,Charge_Reference!B:B)</f>
        <v>Nail Trim</v>
      </c>
      <c r="J351" s="8">
        <v>252.13980000000001</v>
      </c>
      <c r="K351" t="s">
        <v>7</v>
      </c>
      <c r="L351" t="str">
        <f t="shared" si="5"/>
        <v>No instructions needed</v>
      </c>
    </row>
    <row r="352" spans="1:12" x14ac:dyDescent="0.3">
      <c r="A352">
        <v>351</v>
      </c>
      <c r="B352">
        <v>30</v>
      </c>
      <c r="C352">
        <v>38</v>
      </c>
      <c r="D352" t="s">
        <v>183</v>
      </c>
      <c r="E352" t="s">
        <v>41</v>
      </c>
      <c r="F352" t="s">
        <v>116</v>
      </c>
      <c r="G352" t="s">
        <v>228</v>
      </c>
      <c r="H352" t="s">
        <v>32</v>
      </c>
      <c r="I352" t="str">
        <f>_xlfn.XLOOKUP(H352,Charge_Reference!A:A,Charge_Reference!B:B)</f>
        <v>Surgery</v>
      </c>
      <c r="J352" s="8">
        <v>705.02329999999995</v>
      </c>
      <c r="K352" t="s">
        <v>5</v>
      </c>
      <c r="L352" t="str">
        <f t="shared" si="5"/>
        <v>Needs TGH instructions</v>
      </c>
    </row>
    <row r="353" spans="1:12" x14ac:dyDescent="0.3">
      <c r="A353">
        <v>352</v>
      </c>
      <c r="B353">
        <v>197</v>
      </c>
      <c r="C353">
        <v>15</v>
      </c>
      <c r="D353" t="s">
        <v>130</v>
      </c>
      <c r="E353" t="s">
        <v>29</v>
      </c>
      <c r="F353" t="s">
        <v>87</v>
      </c>
      <c r="G353" t="s">
        <v>347</v>
      </c>
      <c r="H353" t="s">
        <v>32</v>
      </c>
      <c r="I353" t="str">
        <f>_xlfn.XLOOKUP(H353,Charge_Reference!A:A,Charge_Reference!B:B)</f>
        <v>Surgery</v>
      </c>
      <c r="J353" s="8">
        <v>349.93860000000001</v>
      </c>
      <c r="K353" t="s">
        <v>5</v>
      </c>
      <c r="L353" t="str">
        <f t="shared" si="5"/>
        <v>Needs TGH instructions</v>
      </c>
    </row>
    <row r="354" spans="1:12" x14ac:dyDescent="0.3">
      <c r="A354">
        <v>353</v>
      </c>
      <c r="B354">
        <v>94</v>
      </c>
      <c r="C354">
        <v>119</v>
      </c>
      <c r="D354" t="s">
        <v>101</v>
      </c>
      <c r="E354" t="s">
        <v>41</v>
      </c>
      <c r="F354" t="s">
        <v>135</v>
      </c>
      <c r="G354" t="s">
        <v>234</v>
      </c>
      <c r="H354" t="s">
        <v>32</v>
      </c>
      <c r="I354" t="str">
        <f>_xlfn.XLOOKUP(H354,Charge_Reference!A:A,Charge_Reference!B:B)</f>
        <v>Surgery</v>
      </c>
      <c r="J354" s="8">
        <v>-154.66380000000001</v>
      </c>
      <c r="K354" t="s">
        <v>5</v>
      </c>
      <c r="L354" t="str">
        <f t="shared" si="5"/>
        <v>Needs TGH instructions</v>
      </c>
    </row>
    <row r="355" spans="1:12" x14ac:dyDescent="0.3">
      <c r="A355">
        <v>354</v>
      </c>
      <c r="B355">
        <v>139</v>
      </c>
      <c r="C355">
        <v>20</v>
      </c>
      <c r="D355" t="s">
        <v>99</v>
      </c>
      <c r="E355" t="s">
        <v>29</v>
      </c>
      <c r="F355" t="s">
        <v>171</v>
      </c>
      <c r="G355" t="s">
        <v>273</v>
      </c>
      <c r="H355" t="s">
        <v>36</v>
      </c>
      <c r="I355" t="str">
        <f>_xlfn.XLOOKUP(H355,Charge_Reference!A:A,Charge_Reference!B:B)</f>
        <v>Emergency Visit</v>
      </c>
      <c r="J355" s="8">
        <v>876.29039999999998</v>
      </c>
      <c r="K355" t="s">
        <v>5</v>
      </c>
      <c r="L355" t="str">
        <f t="shared" si="5"/>
        <v>No instructions needed</v>
      </c>
    </row>
    <row r="356" spans="1:12" x14ac:dyDescent="0.3">
      <c r="A356">
        <v>355</v>
      </c>
      <c r="B356">
        <v>25</v>
      </c>
      <c r="C356">
        <v>110</v>
      </c>
      <c r="D356" t="s">
        <v>194</v>
      </c>
      <c r="E356" t="s">
        <v>29</v>
      </c>
      <c r="F356" t="s">
        <v>94</v>
      </c>
      <c r="G356" t="s">
        <v>223</v>
      </c>
      <c r="H356" t="s">
        <v>51</v>
      </c>
      <c r="I356" t="str">
        <f>_xlfn.XLOOKUP(H356,Charge_Reference!A:A,Charge_Reference!B:B)</f>
        <v>Radiographs</v>
      </c>
      <c r="J356" s="8">
        <v>732.15030000000002</v>
      </c>
      <c r="K356" t="s">
        <v>3</v>
      </c>
      <c r="L356" t="str">
        <f t="shared" si="5"/>
        <v>No instructions needed</v>
      </c>
    </row>
    <row r="357" spans="1:12" x14ac:dyDescent="0.3">
      <c r="A357">
        <v>356</v>
      </c>
      <c r="B357">
        <v>149</v>
      </c>
      <c r="C357">
        <v>35</v>
      </c>
      <c r="D357" t="s">
        <v>101</v>
      </c>
      <c r="E357" t="s">
        <v>41</v>
      </c>
      <c r="F357" t="s">
        <v>131</v>
      </c>
      <c r="G357" t="s">
        <v>148</v>
      </c>
      <c r="H357" t="s">
        <v>47</v>
      </c>
      <c r="I357" t="str">
        <f>_xlfn.XLOOKUP(H357,Charge_Reference!A:A,Charge_Reference!B:B)</f>
        <v>Dental Cleaning</v>
      </c>
      <c r="J357" s="8">
        <v>-293.40989999999999</v>
      </c>
      <c r="K357" t="s">
        <v>5</v>
      </c>
      <c r="L357" t="str">
        <f t="shared" si="5"/>
        <v>No instructions needed</v>
      </c>
    </row>
    <row r="358" spans="1:12" x14ac:dyDescent="0.3">
      <c r="A358">
        <v>357</v>
      </c>
      <c r="B358">
        <v>31</v>
      </c>
      <c r="C358">
        <v>18</v>
      </c>
      <c r="D358" t="s">
        <v>158</v>
      </c>
      <c r="E358" t="s">
        <v>29</v>
      </c>
      <c r="F358" t="s">
        <v>38</v>
      </c>
      <c r="G358" t="s">
        <v>157</v>
      </c>
      <c r="H358" t="s">
        <v>51</v>
      </c>
      <c r="I358" t="str">
        <f>_xlfn.XLOOKUP(H358,Charge_Reference!A:A,Charge_Reference!B:B)</f>
        <v>Radiographs</v>
      </c>
      <c r="J358" s="8">
        <v>418.36950000000002</v>
      </c>
      <c r="K358" t="s">
        <v>7</v>
      </c>
      <c r="L358" t="str">
        <f t="shared" si="5"/>
        <v>No instructions needed</v>
      </c>
    </row>
    <row r="359" spans="1:12" x14ac:dyDescent="0.3">
      <c r="A359">
        <v>358</v>
      </c>
      <c r="B359">
        <v>138</v>
      </c>
      <c r="C359">
        <v>7</v>
      </c>
      <c r="D359" t="s">
        <v>230</v>
      </c>
      <c r="E359" t="s">
        <v>29</v>
      </c>
      <c r="F359" t="s">
        <v>42</v>
      </c>
      <c r="G359" t="s">
        <v>129</v>
      </c>
      <c r="H359" t="s">
        <v>51</v>
      </c>
      <c r="I359" t="str">
        <f>_xlfn.XLOOKUP(H359,Charge_Reference!A:A,Charge_Reference!B:B)</f>
        <v>Radiographs</v>
      </c>
      <c r="J359" s="8">
        <v>-117.49</v>
      </c>
      <c r="K359" t="s">
        <v>3</v>
      </c>
      <c r="L359" t="str">
        <f t="shared" si="5"/>
        <v>No instructions needed</v>
      </c>
    </row>
    <row r="360" spans="1:12" x14ac:dyDescent="0.3">
      <c r="A360">
        <v>359</v>
      </c>
      <c r="B360">
        <v>169</v>
      </c>
      <c r="C360">
        <v>86</v>
      </c>
      <c r="D360" t="s">
        <v>194</v>
      </c>
      <c r="E360" t="s">
        <v>41</v>
      </c>
      <c r="F360" t="s">
        <v>107</v>
      </c>
      <c r="G360" t="s">
        <v>348</v>
      </c>
      <c r="H360" t="s">
        <v>47</v>
      </c>
      <c r="I360" t="str">
        <f>_xlfn.XLOOKUP(H360,Charge_Reference!A:A,Charge_Reference!B:B)</f>
        <v>Dental Cleaning</v>
      </c>
      <c r="J360" s="8">
        <v>932.58219999999994</v>
      </c>
      <c r="K360" t="s">
        <v>5</v>
      </c>
      <c r="L360" t="str">
        <f t="shared" si="5"/>
        <v>No instructions needed</v>
      </c>
    </row>
    <row r="361" spans="1:12" x14ac:dyDescent="0.3">
      <c r="A361">
        <v>360</v>
      </c>
      <c r="B361">
        <v>43</v>
      </c>
      <c r="C361">
        <v>105</v>
      </c>
      <c r="D361" t="s">
        <v>154</v>
      </c>
      <c r="E361" t="s">
        <v>41</v>
      </c>
      <c r="F361" t="s">
        <v>53</v>
      </c>
      <c r="G361" t="s">
        <v>269</v>
      </c>
      <c r="H361" t="s">
        <v>59</v>
      </c>
      <c r="I361" t="str">
        <f>_xlfn.XLOOKUP(H361,Charge_Reference!A:A,Charge_Reference!B:B)</f>
        <v>Office Visit</v>
      </c>
      <c r="J361" s="8">
        <v>731.59640000000002</v>
      </c>
      <c r="K361" t="s">
        <v>7</v>
      </c>
      <c r="L361" t="str">
        <f t="shared" si="5"/>
        <v>No instructions needed</v>
      </c>
    </row>
    <row r="362" spans="1:12" x14ac:dyDescent="0.3">
      <c r="A362">
        <v>361</v>
      </c>
      <c r="B362">
        <v>36</v>
      </c>
      <c r="C362">
        <v>110</v>
      </c>
      <c r="D362" t="s">
        <v>139</v>
      </c>
      <c r="E362" t="s">
        <v>29</v>
      </c>
      <c r="F362" t="s">
        <v>94</v>
      </c>
      <c r="G362" t="s">
        <v>173</v>
      </c>
      <c r="H362" t="s">
        <v>51</v>
      </c>
      <c r="I362" t="str">
        <f>_xlfn.XLOOKUP(H362,Charge_Reference!A:A,Charge_Reference!B:B)</f>
        <v>Radiographs</v>
      </c>
      <c r="J362" s="8">
        <v>-279.35340000000002</v>
      </c>
      <c r="K362" t="s">
        <v>5</v>
      </c>
      <c r="L362" t="str">
        <f t="shared" si="5"/>
        <v>No instructions needed</v>
      </c>
    </row>
    <row r="363" spans="1:12" x14ac:dyDescent="0.3">
      <c r="A363">
        <v>362</v>
      </c>
      <c r="B363">
        <v>127</v>
      </c>
      <c r="C363">
        <v>10</v>
      </c>
      <c r="D363" t="s">
        <v>96</v>
      </c>
      <c r="E363" t="s">
        <v>41</v>
      </c>
      <c r="F363" t="s">
        <v>171</v>
      </c>
      <c r="G363" t="s">
        <v>349</v>
      </c>
      <c r="H363" t="s">
        <v>36</v>
      </c>
      <c r="I363" t="str">
        <f>_xlfn.XLOOKUP(H363,Charge_Reference!A:A,Charge_Reference!B:B)</f>
        <v>Emergency Visit</v>
      </c>
      <c r="J363" s="8">
        <v>-167.70580000000001</v>
      </c>
      <c r="K363" t="s">
        <v>3</v>
      </c>
      <c r="L363" t="str">
        <f t="shared" si="5"/>
        <v>No instructions needed</v>
      </c>
    </row>
    <row r="364" spans="1:12" x14ac:dyDescent="0.3">
      <c r="A364">
        <v>363</v>
      </c>
      <c r="B364">
        <v>48</v>
      </c>
      <c r="C364">
        <v>47</v>
      </c>
      <c r="D364" t="s">
        <v>147</v>
      </c>
      <c r="E364" t="s">
        <v>41</v>
      </c>
      <c r="F364" t="s">
        <v>107</v>
      </c>
      <c r="G364" t="s">
        <v>350</v>
      </c>
      <c r="H364" t="s">
        <v>59</v>
      </c>
      <c r="I364" t="str">
        <f>_xlfn.XLOOKUP(H364,Charge_Reference!A:A,Charge_Reference!B:B)</f>
        <v>Office Visit</v>
      </c>
      <c r="J364" s="8">
        <v>757.41949999999997</v>
      </c>
      <c r="K364" t="s">
        <v>3</v>
      </c>
      <c r="L364" t="str">
        <f t="shared" si="5"/>
        <v>No instructions needed</v>
      </c>
    </row>
    <row r="365" spans="1:12" x14ac:dyDescent="0.3">
      <c r="A365">
        <v>364</v>
      </c>
      <c r="B365">
        <v>181</v>
      </c>
      <c r="C365">
        <v>52</v>
      </c>
      <c r="D365" t="s">
        <v>60</v>
      </c>
      <c r="E365" t="s">
        <v>29</v>
      </c>
      <c r="F365" t="s">
        <v>38</v>
      </c>
      <c r="G365" t="s">
        <v>310</v>
      </c>
      <c r="H365" t="s">
        <v>51</v>
      </c>
      <c r="I365" t="str">
        <f>_xlfn.XLOOKUP(H365,Charge_Reference!A:A,Charge_Reference!B:B)</f>
        <v>Radiographs</v>
      </c>
      <c r="J365" s="8">
        <v>-231.5119</v>
      </c>
      <c r="K365" t="s">
        <v>5</v>
      </c>
      <c r="L365" t="str">
        <f t="shared" si="5"/>
        <v>No instructions needed</v>
      </c>
    </row>
    <row r="366" spans="1:12" x14ac:dyDescent="0.3">
      <c r="A366">
        <v>365</v>
      </c>
      <c r="B366">
        <v>10</v>
      </c>
      <c r="C366">
        <v>41</v>
      </c>
      <c r="D366" t="s">
        <v>81</v>
      </c>
      <c r="E366" t="s">
        <v>41</v>
      </c>
      <c r="F366" t="s">
        <v>151</v>
      </c>
      <c r="G366" t="s">
        <v>190</v>
      </c>
      <c r="H366" t="s">
        <v>51</v>
      </c>
      <c r="I366" t="str">
        <f>_xlfn.XLOOKUP(H366,Charge_Reference!A:A,Charge_Reference!B:B)</f>
        <v>Radiographs</v>
      </c>
      <c r="J366" s="8">
        <v>820.79459999999995</v>
      </c>
      <c r="K366" t="s">
        <v>7</v>
      </c>
      <c r="L366" t="str">
        <f t="shared" si="5"/>
        <v>No instructions needed</v>
      </c>
    </row>
    <row r="367" spans="1:12" x14ac:dyDescent="0.3">
      <c r="A367">
        <v>366</v>
      </c>
      <c r="B367">
        <v>1</v>
      </c>
      <c r="C367">
        <v>20</v>
      </c>
      <c r="D367" t="s">
        <v>185</v>
      </c>
      <c r="E367" t="s">
        <v>29</v>
      </c>
      <c r="F367" t="s">
        <v>49</v>
      </c>
      <c r="G367" t="s">
        <v>136</v>
      </c>
      <c r="H367" t="s">
        <v>36</v>
      </c>
      <c r="I367" t="str">
        <f>_xlfn.XLOOKUP(H367,Charge_Reference!A:A,Charge_Reference!B:B)</f>
        <v>Emergency Visit</v>
      </c>
      <c r="J367" s="8">
        <v>-253.34790000000001</v>
      </c>
      <c r="K367" t="s">
        <v>5</v>
      </c>
      <c r="L367" t="str">
        <f t="shared" si="5"/>
        <v>No instructions needed</v>
      </c>
    </row>
    <row r="368" spans="1:12" x14ac:dyDescent="0.3">
      <c r="A368">
        <v>367</v>
      </c>
      <c r="B368">
        <v>141</v>
      </c>
      <c r="C368">
        <v>64</v>
      </c>
      <c r="D368" t="s">
        <v>56</v>
      </c>
      <c r="E368" t="s">
        <v>29</v>
      </c>
      <c r="F368" t="s">
        <v>116</v>
      </c>
      <c r="G368" t="s">
        <v>351</v>
      </c>
      <c r="H368" t="s">
        <v>36</v>
      </c>
      <c r="I368" t="str">
        <f>_xlfn.XLOOKUP(H368,Charge_Reference!A:A,Charge_Reference!B:B)</f>
        <v>Emergency Visit</v>
      </c>
      <c r="J368" s="8">
        <v>-28.445799999999998</v>
      </c>
      <c r="K368" t="s">
        <v>7</v>
      </c>
      <c r="L368" t="str">
        <f t="shared" si="5"/>
        <v>No instructions needed</v>
      </c>
    </row>
    <row r="369" spans="1:12" x14ac:dyDescent="0.3">
      <c r="A369">
        <v>368</v>
      </c>
      <c r="B369">
        <v>95</v>
      </c>
      <c r="C369">
        <v>95</v>
      </c>
      <c r="D369" t="s">
        <v>220</v>
      </c>
      <c r="E369" t="s">
        <v>41</v>
      </c>
      <c r="F369" t="s">
        <v>171</v>
      </c>
      <c r="G369" t="s">
        <v>352</v>
      </c>
      <c r="H369" t="s">
        <v>64</v>
      </c>
      <c r="I369" t="str">
        <f>_xlfn.XLOOKUP(H369,Charge_Reference!A:A,Charge_Reference!B:B)</f>
        <v>Nail Trim</v>
      </c>
      <c r="J369" s="8">
        <v>-230.43950000000001</v>
      </c>
      <c r="K369" t="s">
        <v>7</v>
      </c>
      <c r="L369" t="str">
        <f t="shared" si="5"/>
        <v>No instructions needed</v>
      </c>
    </row>
    <row r="370" spans="1:12" x14ac:dyDescent="0.3">
      <c r="A370">
        <v>369</v>
      </c>
      <c r="B370">
        <v>134</v>
      </c>
      <c r="C370">
        <v>93</v>
      </c>
      <c r="D370" t="s">
        <v>48</v>
      </c>
      <c r="E370" t="s">
        <v>41</v>
      </c>
      <c r="F370" t="s">
        <v>85</v>
      </c>
      <c r="G370" t="s">
        <v>353</v>
      </c>
      <c r="H370" t="s">
        <v>51</v>
      </c>
      <c r="I370" t="str">
        <f>_xlfn.XLOOKUP(H370,Charge_Reference!A:A,Charge_Reference!B:B)</f>
        <v>Radiographs</v>
      </c>
      <c r="J370" s="8">
        <v>559.65480000000002</v>
      </c>
      <c r="K370" t="s">
        <v>7</v>
      </c>
      <c r="L370" t="str">
        <f t="shared" si="5"/>
        <v>No instructions needed</v>
      </c>
    </row>
    <row r="371" spans="1:12" x14ac:dyDescent="0.3">
      <c r="A371">
        <v>370</v>
      </c>
      <c r="B371">
        <v>97</v>
      </c>
      <c r="C371">
        <v>110</v>
      </c>
      <c r="D371" t="s">
        <v>96</v>
      </c>
      <c r="E371" t="s">
        <v>41</v>
      </c>
      <c r="F371" t="s">
        <v>107</v>
      </c>
      <c r="G371" t="s">
        <v>127</v>
      </c>
      <c r="H371" t="s">
        <v>59</v>
      </c>
      <c r="I371" t="str">
        <f>_xlfn.XLOOKUP(H371,Charge_Reference!A:A,Charge_Reference!B:B)</f>
        <v>Office Visit</v>
      </c>
      <c r="J371" s="8">
        <v>-83.119</v>
      </c>
      <c r="K371" t="s">
        <v>5</v>
      </c>
      <c r="L371" t="str">
        <f t="shared" si="5"/>
        <v>No instructions needed</v>
      </c>
    </row>
    <row r="372" spans="1:12" x14ac:dyDescent="0.3">
      <c r="A372">
        <v>371</v>
      </c>
      <c r="B372">
        <v>118</v>
      </c>
      <c r="C372">
        <v>108</v>
      </c>
      <c r="D372" t="s">
        <v>130</v>
      </c>
      <c r="E372" t="s">
        <v>29</v>
      </c>
      <c r="F372" t="s">
        <v>102</v>
      </c>
      <c r="G372" t="s">
        <v>354</v>
      </c>
      <c r="H372" t="s">
        <v>32</v>
      </c>
      <c r="I372" t="str">
        <f>_xlfn.XLOOKUP(H372,Charge_Reference!A:A,Charge_Reference!B:B)</f>
        <v>Surgery</v>
      </c>
      <c r="J372" s="8">
        <v>605.22699999999998</v>
      </c>
      <c r="K372" t="s">
        <v>7</v>
      </c>
      <c r="L372" t="str">
        <f t="shared" si="5"/>
        <v>Needs TGH instructions</v>
      </c>
    </row>
    <row r="373" spans="1:12" x14ac:dyDescent="0.3">
      <c r="A373">
        <v>372</v>
      </c>
      <c r="B373">
        <v>132</v>
      </c>
      <c r="C373">
        <v>98</v>
      </c>
      <c r="D373" t="s">
        <v>194</v>
      </c>
      <c r="E373" t="s">
        <v>41</v>
      </c>
      <c r="F373" t="s">
        <v>151</v>
      </c>
      <c r="G373" t="s">
        <v>229</v>
      </c>
      <c r="H373" t="s">
        <v>59</v>
      </c>
      <c r="I373" t="str">
        <f>_xlfn.XLOOKUP(H373,Charge_Reference!A:A,Charge_Reference!B:B)</f>
        <v>Office Visit</v>
      </c>
      <c r="J373" s="8">
        <v>891.02890000000002</v>
      </c>
      <c r="K373" t="s">
        <v>5</v>
      </c>
      <c r="L373" t="str">
        <f t="shared" si="5"/>
        <v>No instructions needed</v>
      </c>
    </row>
    <row r="374" spans="1:12" x14ac:dyDescent="0.3">
      <c r="A374">
        <v>373</v>
      </c>
      <c r="B374">
        <v>60</v>
      </c>
      <c r="C374">
        <v>39</v>
      </c>
      <c r="D374" t="s">
        <v>93</v>
      </c>
      <c r="E374" t="s">
        <v>41</v>
      </c>
      <c r="F374" t="s">
        <v>151</v>
      </c>
      <c r="G374" t="s">
        <v>355</v>
      </c>
      <c r="H374" t="s">
        <v>40</v>
      </c>
      <c r="I374" t="str">
        <f>_xlfn.XLOOKUP(H374,Charge_Reference!A:A,Charge_Reference!B:B)</f>
        <v>Annual Bloodwork</v>
      </c>
      <c r="J374" s="8">
        <v>257.0926</v>
      </c>
      <c r="K374" t="s">
        <v>3</v>
      </c>
      <c r="L374" t="str">
        <f t="shared" si="5"/>
        <v>No instructions needed</v>
      </c>
    </row>
    <row r="375" spans="1:12" x14ac:dyDescent="0.3">
      <c r="A375">
        <v>374</v>
      </c>
      <c r="B375">
        <v>107</v>
      </c>
      <c r="C375">
        <v>125</v>
      </c>
      <c r="D375" t="s">
        <v>230</v>
      </c>
      <c r="E375" t="s">
        <v>29</v>
      </c>
      <c r="F375" t="s">
        <v>145</v>
      </c>
      <c r="G375" t="s">
        <v>356</v>
      </c>
      <c r="H375" t="s">
        <v>59</v>
      </c>
      <c r="I375" t="str">
        <f>_xlfn.XLOOKUP(H375,Charge_Reference!A:A,Charge_Reference!B:B)</f>
        <v>Office Visit</v>
      </c>
      <c r="J375" s="8">
        <v>-118.1632</v>
      </c>
      <c r="K375" t="s">
        <v>3</v>
      </c>
      <c r="L375" t="str">
        <f t="shared" si="5"/>
        <v>No instructions needed</v>
      </c>
    </row>
    <row r="376" spans="1:12" x14ac:dyDescent="0.3">
      <c r="A376">
        <v>375</v>
      </c>
      <c r="B376">
        <v>174</v>
      </c>
      <c r="C376">
        <v>29</v>
      </c>
      <c r="D376" t="s">
        <v>109</v>
      </c>
      <c r="E376" t="s">
        <v>41</v>
      </c>
      <c r="F376" t="s">
        <v>118</v>
      </c>
      <c r="G376" t="s">
        <v>357</v>
      </c>
      <c r="H376" t="s">
        <v>32</v>
      </c>
      <c r="I376" t="str">
        <f>_xlfn.XLOOKUP(H376,Charge_Reference!A:A,Charge_Reference!B:B)</f>
        <v>Surgery</v>
      </c>
      <c r="J376" s="8">
        <v>445.35649999999998</v>
      </c>
      <c r="K376" t="s">
        <v>5</v>
      </c>
      <c r="L376" t="str">
        <f t="shared" si="5"/>
        <v>Needs TGH instructions</v>
      </c>
    </row>
    <row r="377" spans="1:12" x14ac:dyDescent="0.3">
      <c r="A377">
        <v>376</v>
      </c>
      <c r="B377">
        <v>97</v>
      </c>
      <c r="C377">
        <v>12</v>
      </c>
      <c r="D377" t="s">
        <v>211</v>
      </c>
      <c r="E377" t="s">
        <v>41</v>
      </c>
      <c r="F377" t="s">
        <v>94</v>
      </c>
      <c r="G377" t="s">
        <v>155</v>
      </c>
      <c r="H377" t="s">
        <v>51</v>
      </c>
      <c r="I377" t="str">
        <f>_xlfn.XLOOKUP(H377,Charge_Reference!A:A,Charge_Reference!B:B)</f>
        <v>Radiographs</v>
      </c>
      <c r="J377" s="8">
        <v>-269.983</v>
      </c>
      <c r="K377" t="s">
        <v>5</v>
      </c>
      <c r="L377" t="str">
        <f t="shared" si="5"/>
        <v>No instructions needed</v>
      </c>
    </row>
    <row r="378" spans="1:12" x14ac:dyDescent="0.3">
      <c r="A378">
        <v>377</v>
      </c>
      <c r="B378">
        <v>48</v>
      </c>
      <c r="C378">
        <v>35</v>
      </c>
      <c r="D378" t="s">
        <v>68</v>
      </c>
      <c r="E378" t="s">
        <v>41</v>
      </c>
      <c r="F378" t="s">
        <v>82</v>
      </c>
      <c r="G378" t="s">
        <v>358</v>
      </c>
      <c r="H378" t="s">
        <v>40</v>
      </c>
      <c r="I378" t="str">
        <f>_xlfn.XLOOKUP(H378,Charge_Reference!A:A,Charge_Reference!B:B)</f>
        <v>Annual Bloodwork</v>
      </c>
      <c r="J378" s="8">
        <v>-50.144599999999997</v>
      </c>
      <c r="K378" t="s">
        <v>5</v>
      </c>
      <c r="L378" t="str">
        <f t="shared" si="5"/>
        <v>No instructions needed</v>
      </c>
    </row>
    <row r="379" spans="1:12" x14ac:dyDescent="0.3">
      <c r="A379">
        <v>378</v>
      </c>
      <c r="B379">
        <v>5</v>
      </c>
      <c r="C379">
        <v>49</v>
      </c>
      <c r="D379" t="s">
        <v>78</v>
      </c>
      <c r="E379" t="s">
        <v>29</v>
      </c>
      <c r="F379" t="s">
        <v>104</v>
      </c>
      <c r="G379" t="s">
        <v>359</v>
      </c>
      <c r="H379" t="s">
        <v>32</v>
      </c>
      <c r="I379" t="str">
        <f>_xlfn.XLOOKUP(H379,Charge_Reference!A:A,Charge_Reference!B:B)</f>
        <v>Surgery</v>
      </c>
      <c r="J379" s="8">
        <v>273.90309999999999</v>
      </c>
      <c r="K379" t="s">
        <v>5</v>
      </c>
      <c r="L379" t="str">
        <f t="shared" si="5"/>
        <v>Needs TGH instructions</v>
      </c>
    </row>
    <row r="380" spans="1:12" x14ac:dyDescent="0.3">
      <c r="A380">
        <v>379</v>
      </c>
      <c r="B380">
        <v>95</v>
      </c>
      <c r="C380">
        <v>12</v>
      </c>
      <c r="D380" t="s">
        <v>197</v>
      </c>
      <c r="E380" t="s">
        <v>29</v>
      </c>
      <c r="F380" t="s">
        <v>30</v>
      </c>
      <c r="G380" t="s">
        <v>54</v>
      </c>
      <c r="H380" t="s">
        <v>47</v>
      </c>
      <c r="I380" t="str">
        <f>_xlfn.XLOOKUP(H380,Charge_Reference!A:A,Charge_Reference!B:B)</f>
        <v>Dental Cleaning</v>
      </c>
      <c r="J380" s="8">
        <v>-294.6327</v>
      </c>
      <c r="K380" t="s">
        <v>5</v>
      </c>
      <c r="L380" t="str">
        <f t="shared" si="5"/>
        <v>No instructions needed</v>
      </c>
    </row>
    <row r="381" spans="1:12" x14ac:dyDescent="0.3">
      <c r="A381">
        <v>380</v>
      </c>
      <c r="B381">
        <v>19</v>
      </c>
      <c r="C381">
        <v>19</v>
      </c>
      <c r="D381" t="s">
        <v>96</v>
      </c>
      <c r="E381" t="s">
        <v>29</v>
      </c>
      <c r="F381" t="s">
        <v>97</v>
      </c>
      <c r="G381" t="s">
        <v>304</v>
      </c>
      <c r="H381" t="s">
        <v>47</v>
      </c>
      <c r="I381" t="str">
        <f>_xlfn.XLOOKUP(H381,Charge_Reference!A:A,Charge_Reference!B:B)</f>
        <v>Dental Cleaning</v>
      </c>
      <c r="J381" s="8">
        <v>52.862499999999997</v>
      </c>
      <c r="K381" t="s">
        <v>5</v>
      </c>
      <c r="L381" t="str">
        <f t="shared" si="5"/>
        <v>No instructions needed</v>
      </c>
    </row>
    <row r="382" spans="1:12" x14ac:dyDescent="0.3">
      <c r="A382">
        <v>381</v>
      </c>
      <c r="B382">
        <v>133</v>
      </c>
      <c r="C382">
        <v>13</v>
      </c>
      <c r="D382" t="s">
        <v>56</v>
      </c>
      <c r="E382" t="s">
        <v>41</v>
      </c>
      <c r="F382" t="s">
        <v>116</v>
      </c>
      <c r="G382" t="s">
        <v>338</v>
      </c>
      <c r="H382" t="s">
        <v>47</v>
      </c>
      <c r="I382" t="str">
        <f>_xlfn.XLOOKUP(H382,Charge_Reference!A:A,Charge_Reference!B:B)</f>
        <v>Dental Cleaning</v>
      </c>
      <c r="J382" s="8">
        <v>116.6313</v>
      </c>
      <c r="K382" t="s">
        <v>3</v>
      </c>
      <c r="L382" t="str">
        <f t="shared" si="5"/>
        <v>No instructions needed</v>
      </c>
    </row>
    <row r="383" spans="1:12" x14ac:dyDescent="0.3">
      <c r="A383">
        <v>382</v>
      </c>
      <c r="B383">
        <v>196</v>
      </c>
      <c r="C383">
        <v>57</v>
      </c>
      <c r="D383" t="s">
        <v>99</v>
      </c>
      <c r="E383" t="s">
        <v>29</v>
      </c>
      <c r="F383" t="s">
        <v>111</v>
      </c>
      <c r="G383" t="s">
        <v>238</v>
      </c>
      <c r="H383" t="s">
        <v>32</v>
      </c>
      <c r="I383" t="str">
        <f>_xlfn.XLOOKUP(H383,Charge_Reference!A:A,Charge_Reference!B:B)</f>
        <v>Surgery</v>
      </c>
      <c r="J383" s="8">
        <v>881.03610000000003</v>
      </c>
      <c r="K383" t="s">
        <v>7</v>
      </c>
      <c r="L383" t="str">
        <f t="shared" si="5"/>
        <v>Needs TGH instructions</v>
      </c>
    </row>
    <row r="384" spans="1:12" x14ac:dyDescent="0.3">
      <c r="A384">
        <v>383</v>
      </c>
      <c r="B384">
        <v>144</v>
      </c>
      <c r="C384">
        <v>46</v>
      </c>
      <c r="D384" t="s">
        <v>179</v>
      </c>
      <c r="E384" t="s">
        <v>29</v>
      </c>
      <c r="F384" t="s">
        <v>82</v>
      </c>
      <c r="G384" t="s">
        <v>321</v>
      </c>
      <c r="H384" t="s">
        <v>32</v>
      </c>
      <c r="I384" t="str">
        <f>_xlfn.XLOOKUP(H384,Charge_Reference!A:A,Charge_Reference!B:B)</f>
        <v>Surgery</v>
      </c>
      <c r="J384" s="8">
        <v>-75.9696</v>
      </c>
      <c r="K384" t="s">
        <v>3</v>
      </c>
      <c r="L384" t="str">
        <f t="shared" si="5"/>
        <v>Needs TGH instructions</v>
      </c>
    </row>
    <row r="385" spans="1:12" x14ac:dyDescent="0.3">
      <c r="A385">
        <v>384</v>
      </c>
      <c r="B385">
        <v>157</v>
      </c>
      <c r="C385">
        <v>110</v>
      </c>
      <c r="D385" t="s">
        <v>101</v>
      </c>
      <c r="E385" t="s">
        <v>29</v>
      </c>
      <c r="F385" t="s">
        <v>66</v>
      </c>
      <c r="G385" t="s">
        <v>262</v>
      </c>
      <c r="H385" t="s">
        <v>59</v>
      </c>
      <c r="I385" t="str">
        <f>_xlfn.XLOOKUP(H385,Charge_Reference!A:A,Charge_Reference!B:B)</f>
        <v>Office Visit</v>
      </c>
      <c r="J385" s="8">
        <v>806.13829999999996</v>
      </c>
      <c r="K385" t="s">
        <v>3</v>
      </c>
      <c r="L385" t="str">
        <f t="shared" si="5"/>
        <v>No instructions needed</v>
      </c>
    </row>
    <row r="386" spans="1:12" x14ac:dyDescent="0.3">
      <c r="A386">
        <v>385</v>
      </c>
      <c r="B386">
        <v>118</v>
      </c>
      <c r="C386">
        <v>146</v>
      </c>
      <c r="D386" t="s">
        <v>154</v>
      </c>
      <c r="E386" t="s">
        <v>29</v>
      </c>
      <c r="F386" t="s">
        <v>171</v>
      </c>
      <c r="G386" t="s">
        <v>46</v>
      </c>
      <c r="H386" t="s">
        <v>64</v>
      </c>
      <c r="I386" t="str">
        <f>_xlfn.XLOOKUP(H386,Charge_Reference!A:A,Charge_Reference!B:B)</f>
        <v>Nail Trim</v>
      </c>
      <c r="J386" s="8">
        <v>-290.27789999999999</v>
      </c>
      <c r="K386" t="s">
        <v>5</v>
      </c>
      <c r="L386" t="str">
        <f t="shared" si="5"/>
        <v>No instructions needed</v>
      </c>
    </row>
    <row r="387" spans="1:12" x14ac:dyDescent="0.3">
      <c r="A387">
        <v>386</v>
      </c>
      <c r="B387">
        <v>149</v>
      </c>
      <c r="C387">
        <v>101</v>
      </c>
      <c r="D387" t="s">
        <v>128</v>
      </c>
      <c r="E387" t="s">
        <v>41</v>
      </c>
      <c r="F387" t="s">
        <v>135</v>
      </c>
      <c r="G387" t="s">
        <v>153</v>
      </c>
      <c r="H387" t="s">
        <v>51</v>
      </c>
      <c r="I387" t="str">
        <f>_xlfn.XLOOKUP(H387,Charge_Reference!A:A,Charge_Reference!B:B)</f>
        <v>Radiographs</v>
      </c>
      <c r="J387" s="8">
        <v>868.63109999999995</v>
      </c>
      <c r="K387" t="s">
        <v>5</v>
      </c>
      <c r="L387" t="str">
        <f t="shared" ref="L387:L450" si="6">IF(I387 = "Surgery", "Needs TGH instructions", "No instructions needed")</f>
        <v>No instructions needed</v>
      </c>
    </row>
    <row r="388" spans="1:12" x14ac:dyDescent="0.3">
      <c r="A388">
        <v>387</v>
      </c>
      <c r="B388">
        <v>193</v>
      </c>
      <c r="C388">
        <v>7</v>
      </c>
      <c r="D388" t="s">
        <v>142</v>
      </c>
      <c r="E388" t="s">
        <v>41</v>
      </c>
      <c r="F388" t="s">
        <v>57</v>
      </c>
      <c r="G388" t="s">
        <v>98</v>
      </c>
      <c r="H388" t="s">
        <v>32</v>
      </c>
      <c r="I388" t="str">
        <f>_xlfn.XLOOKUP(H388,Charge_Reference!A:A,Charge_Reference!B:B)</f>
        <v>Surgery</v>
      </c>
      <c r="J388" s="8">
        <v>505.68090000000001</v>
      </c>
      <c r="K388" t="s">
        <v>5</v>
      </c>
      <c r="L388" t="str">
        <f t="shared" si="6"/>
        <v>Needs TGH instructions</v>
      </c>
    </row>
    <row r="389" spans="1:12" x14ac:dyDescent="0.3">
      <c r="A389">
        <v>388</v>
      </c>
      <c r="B389">
        <v>48</v>
      </c>
      <c r="C389">
        <v>106</v>
      </c>
      <c r="D389" t="s">
        <v>217</v>
      </c>
      <c r="E389" t="s">
        <v>41</v>
      </c>
      <c r="F389" t="s">
        <v>102</v>
      </c>
      <c r="G389" t="s">
        <v>360</v>
      </c>
      <c r="H389" t="s">
        <v>47</v>
      </c>
      <c r="I389" t="str">
        <f>_xlfn.XLOOKUP(H389,Charge_Reference!A:A,Charge_Reference!B:B)</f>
        <v>Dental Cleaning</v>
      </c>
      <c r="J389" s="8">
        <v>647.15909999999997</v>
      </c>
      <c r="K389" t="s">
        <v>7</v>
      </c>
      <c r="L389" t="str">
        <f t="shared" si="6"/>
        <v>No instructions needed</v>
      </c>
    </row>
    <row r="390" spans="1:12" x14ac:dyDescent="0.3">
      <c r="A390">
        <v>389</v>
      </c>
      <c r="B390">
        <v>84</v>
      </c>
      <c r="C390">
        <v>140</v>
      </c>
      <c r="D390" t="s">
        <v>60</v>
      </c>
      <c r="E390" t="s">
        <v>29</v>
      </c>
      <c r="F390" t="s">
        <v>97</v>
      </c>
      <c r="G390" t="s">
        <v>165</v>
      </c>
      <c r="H390" t="s">
        <v>64</v>
      </c>
      <c r="I390" t="str">
        <f>_xlfn.XLOOKUP(H390,Charge_Reference!A:A,Charge_Reference!B:B)</f>
        <v>Nail Trim</v>
      </c>
      <c r="J390" s="8">
        <v>-48.2012</v>
      </c>
      <c r="K390" t="s">
        <v>3</v>
      </c>
      <c r="L390" t="str">
        <f t="shared" si="6"/>
        <v>No instructions needed</v>
      </c>
    </row>
    <row r="391" spans="1:12" x14ac:dyDescent="0.3">
      <c r="A391">
        <v>390</v>
      </c>
      <c r="B391">
        <v>22</v>
      </c>
      <c r="C391">
        <v>137</v>
      </c>
      <c r="D391" t="s">
        <v>109</v>
      </c>
      <c r="E391" t="s">
        <v>29</v>
      </c>
      <c r="F391" t="s">
        <v>118</v>
      </c>
      <c r="G391" t="s">
        <v>172</v>
      </c>
      <c r="H391" t="s">
        <v>59</v>
      </c>
      <c r="I391" t="str">
        <f>_xlfn.XLOOKUP(H391,Charge_Reference!A:A,Charge_Reference!B:B)</f>
        <v>Office Visit</v>
      </c>
      <c r="J391" s="8">
        <v>-48.435899999999997</v>
      </c>
      <c r="K391" t="s">
        <v>3</v>
      </c>
      <c r="L391" t="str">
        <f t="shared" si="6"/>
        <v>No instructions needed</v>
      </c>
    </row>
    <row r="392" spans="1:12" x14ac:dyDescent="0.3">
      <c r="A392">
        <v>391</v>
      </c>
      <c r="B392">
        <v>130</v>
      </c>
      <c r="C392">
        <v>135</v>
      </c>
      <c r="D392" t="s">
        <v>56</v>
      </c>
      <c r="E392" t="s">
        <v>29</v>
      </c>
      <c r="F392" t="s">
        <v>34</v>
      </c>
      <c r="G392" t="s">
        <v>323</v>
      </c>
      <c r="H392" t="s">
        <v>55</v>
      </c>
      <c r="I392" t="str">
        <f>_xlfn.XLOOKUP(H392,Charge_Reference!A:A,Charge_Reference!B:B)</f>
        <v>Vaccination</v>
      </c>
      <c r="J392" s="8">
        <v>277.10289999999998</v>
      </c>
      <c r="K392" t="s">
        <v>7</v>
      </c>
      <c r="L392" t="str">
        <f t="shared" si="6"/>
        <v>No instructions needed</v>
      </c>
    </row>
    <row r="393" spans="1:12" x14ac:dyDescent="0.3">
      <c r="A393">
        <v>392</v>
      </c>
      <c r="B393">
        <v>114</v>
      </c>
      <c r="C393">
        <v>128</v>
      </c>
      <c r="D393" t="s">
        <v>130</v>
      </c>
      <c r="E393" t="s">
        <v>29</v>
      </c>
      <c r="F393" t="s">
        <v>116</v>
      </c>
      <c r="G393" t="s">
        <v>345</v>
      </c>
      <c r="H393" t="s">
        <v>55</v>
      </c>
      <c r="I393" t="str">
        <f>_xlfn.XLOOKUP(H393,Charge_Reference!A:A,Charge_Reference!B:B)</f>
        <v>Vaccination</v>
      </c>
      <c r="J393" s="8">
        <v>100.08759999999999</v>
      </c>
      <c r="K393" t="s">
        <v>5</v>
      </c>
      <c r="L393" t="str">
        <f t="shared" si="6"/>
        <v>No instructions needed</v>
      </c>
    </row>
    <row r="394" spans="1:12" x14ac:dyDescent="0.3">
      <c r="A394">
        <v>393</v>
      </c>
      <c r="B394">
        <v>151</v>
      </c>
      <c r="C394">
        <v>117</v>
      </c>
      <c r="D394" t="s">
        <v>130</v>
      </c>
      <c r="E394" t="s">
        <v>29</v>
      </c>
      <c r="F394" t="s">
        <v>45</v>
      </c>
      <c r="G394" t="s">
        <v>202</v>
      </c>
      <c r="H394" t="s">
        <v>47</v>
      </c>
      <c r="I394" t="str">
        <f>_xlfn.XLOOKUP(H394,Charge_Reference!A:A,Charge_Reference!B:B)</f>
        <v>Dental Cleaning</v>
      </c>
      <c r="J394" s="8">
        <v>127.0641</v>
      </c>
      <c r="K394" t="s">
        <v>7</v>
      </c>
      <c r="L394" t="str">
        <f t="shared" si="6"/>
        <v>No instructions needed</v>
      </c>
    </row>
    <row r="395" spans="1:12" x14ac:dyDescent="0.3">
      <c r="A395">
        <v>394</v>
      </c>
      <c r="B395">
        <v>118</v>
      </c>
      <c r="C395">
        <v>29</v>
      </c>
      <c r="D395" t="s">
        <v>197</v>
      </c>
      <c r="E395" t="s">
        <v>41</v>
      </c>
      <c r="F395" t="s">
        <v>111</v>
      </c>
      <c r="G395" t="s">
        <v>301</v>
      </c>
      <c r="H395" t="s">
        <v>51</v>
      </c>
      <c r="I395" t="str">
        <f>_xlfn.XLOOKUP(H395,Charge_Reference!A:A,Charge_Reference!B:B)</f>
        <v>Radiographs</v>
      </c>
      <c r="J395" s="8">
        <v>-76.145700000000005</v>
      </c>
      <c r="K395" t="s">
        <v>5</v>
      </c>
      <c r="L395" t="str">
        <f t="shared" si="6"/>
        <v>No instructions needed</v>
      </c>
    </row>
    <row r="396" spans="1:12" x14ac:dyDescent="0.3">
      <c r="A396">
        <v>395</v>
      </c>
      <c r="B396">
        <v>19</v>
      </c>
      <c r="C396">
        <v>131</v>
      </c>
      <c r="D396" t="s">
        <v>84</v>
      </c>
      <c r="E396" t="s">
        <v>41</v>
      </c>
      <c r="F396" t="s">
        <v>30</v>
      </c>
      <c r="G396" t="s">
        <v>308</v>
      </c>
      <c r="H396" t="s">
        <v>40</v>
      </c>
      <c r="I396" t="str">
        <f>_xlfn.XLOOKUP(H396,Charge_Reference!A:A,Charge_Reference!B:B)</f>
        <v>Annual Bloodwork</v>
      </c>
      <c r="J396" s="8">
        <v>875.32640000000004</v>
      </c>
      <c r="K396" t="s">
        <v>3</v>
      </c>
      <c r="L396" t="str">
        <f t="shared" si="6"/>
        <v>No instructions needed</v>
      </c>
    </row>
    <row r="397" spans="1:12" x14ac:dyDescent="0.3">
      <c r="A397">
        <v>396</v>
      </c>
      <c r="B397">
        <v>31</v>
      </c>
      <c r="C397">
        <v>22</v>
      </c>
      <c r="D397" t="s">
        <v>230</v>
      </c>
      <c r="E397" t="s">
        <v>41</v>
      </c>
      <c r="F397" t="s">
        <v>61</v>
      </c>
      <c r="G397" t="s">
        <v>361</v>
      </c>
      <c r="H397" t="s">
        <v>51</v>
      </c>
      <c r="I397" t="str">
        <f>_xlfn.XLOOKUP(H397,Charge_Reference!A:A,Charge_Reference!B:B)</f>
        <v>Radiographs</v>
      </c>
      <c r="J397" s="8">
        <v>21.060400000000001</v>
      </c>
      <c r="K397" t="s">
        <v>3</v>
      </c>
      <c r="L397" t="str">
        <f t="shared" si="6"/>
        <v>No instructions needed</v>
      </c>
    </row>
    <row r="398" spans="1:12" x14ac:dyDescent="0.3">
      <c r="A398">
        <v>397</v>
      </c>
      <c r="B398">
        <v>52</v>
      </c>
      <c r="C398">
        <v>150</v>
      </c>
      <c r="D398" t="s">
        <v>128</v>
      </c>
      <c r="E398" t="s">
        <v>29</v>
      </c>
      <c r="F398" t="s">
        <v>116</v>
      </c>
      <c r="G398" t="s">
        <v>119</v>
      </c>
      <c r="H398" t="s">
        <v>40</v>
      </c>
      <c r="I398" t="str">
        <f>_xlfn.XLOOKUP(H398,Charge_Reference!A:A,Charge_Reference!B:B)</f>
        <v>Annual Bloodwork</v>
      </c>
      <c r="J398" s="8">
        <v>282.67739999999998</v>
      </c>
      <c r="K398" t="s">
        <v>7</v>
      </c>
      <c r="L398" t="str">
        <f t="shared" si="6"/>
        <v>No instructions needed</v>
      </c>
    </row>
    <row r="399" spans="1:12" x14ac:dyDescent="0.3">
      <c r="A399">
        <v>398</v>
      </c>
      <c r="B399">
        <v>161</v>
      </c>
      <c r="C399">
        <v>85</v>
      </c>
      <c r="D399" t="s">
        <v>101</v>
      </c>
      <c r="E399" t="s">
        <v>29</v>
      </c>
      <c r="F399" t="s">
        <v>57</v>
      </c>
      <c r="G399" t="s">
        <v>247</v>
      </c>
      <c r="H399" t="s">
        <v>32</v>
      </c>
      <c r="I399" t="str">
        <f>_xlfn.XLOOKUP(H399,Charge_Reference!A:A,Charge_Reference!B:B)</f>
        <v>Surgery</v>
      </c>
      <c r="J399" s="8">
        <v>-265.76659999999998</v>
      </c>
      <c r="K399" t="s">
        <v>3</v>
      </c>
      <c r="L399" t="str">
        <f t="shared" si="6"/>
        <v>Needs TGH instructions</v>
      </c>
    </row>
    <row r="400" spans="1:12" x14ac:dyDescent="0.3">
      <c r="A400">
        <v>399</v>
      </c>
      <c r="B400">
        <v>119</v>
      </c>
      <c r="C400">
        <v>116</v>
      </c>
      <c r="D400" t="s">
        <v>120</v>
      </c>
      <c r="E400" t="s">
        <v>29</v>
      </c>
      <c r="F400" t="s">
        <v>61</v>
      </c>
      <c r="G400" t="s">
        <v>333</v>
      </c>
      <c r="H400" t="s">
        <v>40</v>
      </c>
      <c r="I400" t="str">
        <f>_xlfn.XLOOKUP(H400,Charge_Reference!A:A,Charge_Reference!B:B)</f>
        <v>Annual Bloodwork</v>
      </c>
      <c r="J400" s="8">
        <v>656.40539999999999</v>
      </c>
      <c r="K400" t="s">
        <v>5</v>
      </c>
      <c r="L400" t="str">
        <f t="shared" si="6"/>
        <v>No instructions needed</v>
      </c>
    </row>
    <row r="401" spans="1:12" x14ac:dyDescent="0.3">
      <c r="A401">
        <v>400</v>
      </c>
      <c r="B401">
        <v>30</v>
      </c>
      <c r="C401">
        <v>82</v>
      </c>
      <c r="D401" t="s">
        <v>113</v>
      </c>
      <c r="E401" t="s">
        <v>29</v>
      </c>
      <c r="F401" t="s">
        <v>87</v>
      </c>
      <c r="G401" t="s">
        <v>144</v>
      </c>
      <c r="H401" t="s">
        <v>59</v>
      </c>
      <c r="I401" t="str">
        <f>_xlfn.XLOOKUP(H401,Charge_Reference!A:A,Charge_Reference!B:B)</f>
        <v>Office Visit</v>
      </c>
      <c r="J401" s="8">
        <v>59.463900000000002</v>
      </c>
      <c r="K401" t="s">
        <v>5</v>
      </c>
      <c r="L401" t="str">
        <f t="shared" si="6"/>
        <v>No instructions needed</v>
      </c>
    </row>
    <row r="402" spans="1:12" x14ac:dyDescent="0.3">
      <c r="A402">
        <v>401</v>
      </c>
      <c r="B402">
        <v>7</v>
      </c>
      <c r="C402">
        <v>53</v>
      </c>
      <c r="D402" t="s">
        <v>244</v>
      </c>
      <c r="E402" t="s">
        <v>41</v>
      </c>
      <c r="F402" t="s">
        <v>97</v>
      </c>
      <c r="G402" t="s">
        <v>350</v>
      </c>
      <c r="H402" t="s">
        <v>64</v>
      </c>
      <c r="I402" t="str">
        <f>_xlfn.XLOOKUP(H402,Charge_Reference!A:A,Charge_Reference!B:B)</f>
        <v>Nail Trim</v>
      </c>
      <c r="J402" s="8">
        <v>49.212899999999998</v>
      </c>
      <c r="K402" t="s">
        <v>5</v>
      </c>
      <c r="L402" t="str">
        <f t="shared" si="6"/>
        <v>No instructions needed</v>
      </c>
    </row>
    <row r="403" spans="1:12" x14ac:dyDescent="0.3">
      <c r="A403">
        <v>402</v>
      </c>
      <c r="B403">
        <v>91</v>
      </c>
      <c r="C403">
        <v>18</v>
      </c>
      <c r="D403" t="s">
        <v>126</v>
      </c>
      <c r="E403" t="s">
        <v>41</v>
      </c>
      <c r="F403" t="s">
        <v>160</v>
      </c>
      <c r="G403" t="s">
        <v>117</v>
      </c>
      <c r="H403" t="s">
        <v>64</v>
      </c>
      <c r="I403" t="str">
        <f>_xlfn.XLOOKUP(H403,Charge_Reference!A:A,Charge_Reference!B:B)</f>
        <v>Nail Trim</v>
      </c>
      <c r="J403" s="8">
        <v>649.32560000000001</v>
      </c>
      <c r="K403" t="s">
        <v>7</v>
      </c>
      <c r="L403" t="str">
        <f t="shared" si="6"/>
        <v>No instructions needed</v>
      </c>
    </row>
    <row r="404" spans="1:12" x14ac:dyDescent="0.3">
      <c r="A404">
        <v>403</v>
      </c>
      <c r="B404">
        <v>29</v>
      </c>
      <c r="C404">
        <v>120</v>
      </c>
      <c r="D404" t="s">
        <v>81</v>
      </c>
      <c r="E404" t="s">
        <v>41</v>
      </c>
      <c r="F404" t="s">
        <v>57</v>
      </c>
      <c r="G404" t="s">
        <v>148</v>
      </c>
      <c r="H404" t="s">
        <v>32</v>
      </c>
      <c r="I404" t="str">
        <f>_xlfn.XLOOKUP(H404,Charge_Reference!A:A,Charge_Reference!B:B)</f>
        <v>Surgery</v>
      </c>
      <c r="J404" s="8">
        <v>634.02279999999996</v>
      </c>
      <c r="K404" t="s">
        <v>5</v>
      </c>
      <c r="L404" t="str">
        <f t="shared" si="6"/>
        <v>Needs TGH instructions</v>
      </c>
    </row>
    <row r="405" spans="1:12" x14ac:dyDescent="0.3">
      <c r="A405">
        <v>404</v>
      </c>
      <c r="B405">
        <v>169</v>
      </c>
      <c r="C405">
        <v>81</v>
      </c>
      <c r="D405" t="s">
        <v>52</v>
      </c>
      <c r="E405" t="s">
        <v>29</v>
      </c>
      <c r="F405" t="s">
        <v>73</v>
      </c>
      <c r="G405" t="s">
        <v>329</v>
      </c>
      <c r="H405" t="s">
        <v>47</v>
      </c>
      <c r="I405" t="str">
        <f>_xlfn.XLOOKUP(H405,Charge_Reference!A:A,Charge_Reference!B:B)</f>
        <v>Dental Cleaning</v>
      </c>
      <c r="J405" s="8">
        <v>-154.03890000000001</v>
      </c>
      <c r="K405" t="s">
        <v>3</v>
      </c>
      <c r="L405" t="str">
        <f t="shared" si="6"/>
        <v>No instructions needed</v>
      </c>
    </row>
    <row r="406" spans="1:12" x14ac:dyDescent="0.3">
      <c r="A406">
        <v>405</v>
      </c>
      <c r="B406">
        <v>58</v>
      </c>
      <c r="C406">
        <v>118</v>
      </c>
      <c r="D406" t="s">
        <v>120</v>
      </c>
      <c r="E406" t="s">
        <v>29</v>
      </c>
      <c r="F406" t="s">
        <v>53</v>
      </c>
      <c r="G406" t="s">
        <v>169</v>
      </c>
      <c r="H406" t="s">
        <v>55</v>
      </c>
      <c r="I406" t="str">
        <f>_xlfn.XLOOKUP(H406,Charge_Reference!A:A,Charge_Reference!B:B)</f>
        <v>Vaccination</v>
      </c>
      <c r="J406" s="8">
        <v>461.10359999999997</v>
      </c>
      <c r="K406" t="s">
        <v>3</v>
      </c>
      <c r="L406" t="str">
        <f t="shared" si="6"/>
        <v>No instructions needed</v>
      </c>
    </row>
    <row r="407" spans="1:12" x14ac:dyDescent="0.3">
      <c r="A407">
        <v>406</v>
      </c>
      <c r="B407">
        <v>162</v>
      </c>
      <c r="C407">
        <v>93</v>
      </c>
      <c r="D407" t="s">
        <v>96</v>
      </c>
      <c r="E407" t="s">
        <v>41</v>
      </c>
      <c r="F407" t="s">
        <v>97</v>
      </c>
      <c r="G407" t="s">
        <v>209</v>
      </c>
      <c r="H407" t="s">
        <v>40</v>
      </c>
      <c r="I407" t="str">
        <f>_xlfn.XLOOKUP(H407,Charge_Reference!A:A,Charge_Reference!B:B)</f>
        <v>Annual Bloodwork</v>
      </c>
      <c r="J407" s="8">
        <v>146.49590000000001</v>
      </c>
      <c r="K407" t="s">
        <v>7</v>
      </c>
      <c r="L407" t="str">
        <f t="shared" si="6"/>
        <v>No instructions needed</v>
      </c>
    </row>
    <row r="408" spans="1:12" x14ac:dyDescent="0.3">
      <c r="A408">
        <v>407</v>
      </c>
      <c r="B408">
        <v>65</v>
      </c>
      <c r="C408">
        <v>103</v>
      </c>
      <c r="D408" t="s">
        <v>44</v>
      </c>
      <c r="E408" t="s">
        <v>41</v>
      </c>
      <c r="F408" t="s">
        <v>45</v>
      </c>
      <c r="G408" t="s">
        <v>50</v>
      </c>
      <c r="H408" t="s">
        <v>36</v>
      </c>
      <c r="I408" t="str">
        <f>_xlfn.XLOOKUP(H408,Charge_Reference!A:A,Charge_Reference!B:B)</f>
        <v>Emergency Visit</v>
      </c>
      <c r="J408" s="8">
        <v>-52.04</v>
      </c>
      <c r="K408" t="s">
        <v>5</v>
      </c>
      <c r="L408" t="str">
        <f t="shared" si="6"/>
        <v>No instructions needed</v>
      </c>
    </row>
    <row r="409" spans="1:12" x14ac:dyDescent="0.3">
      <c r="A409">
        <v>408</v>
      </c>
      <c r="B409">
        <v>33</v>
      </c>
      <c r="C409">
        <v>4</v>
      </c>
      <c r="D409" t="s">
        <v>52</v>
      </c>
      <c r="E409" t="s">
        <v>29</v>
      </c>
      <c r="F409" t="s">
        <v>87</v>
      </c>
      <c r="G409" t="s">
        <v>210</v>
      </c>
      <c r="H409" t="s">
        <v>51</v>
      </c>
      <c r="I409" t="str">
        <f>_xlfn.XLOOKUP(H409,Charge_Reference!A:A,Charge_Reference!B:B)</f>
        <v>Radiographs</v>
      </c>
      <c r="J409" s="8">
        <v>697.46889999999996</v>
      </c>
      <c r="K409" t="s">
        <v>7</v>
      </c>
      <c r="L409" t="str">
        <f t="shared" si="6"/>
        <v>No instructions needed</v>
      </c>
    </row>
    <row r="410" spans="1:12" x14ac:dyDescent="0.3">
      <c r="A410">
        <v>409</v>
      </c>
      <c r="B410">
        <v>183</v>
      </c>
      <c r="C410">
        <v>150</v>
      </c>
      <c r="D410" t="s">
        <v>33</v>
      </c>
      <c r="E410" t="s">
        <v>29</v>
      </c>
      <c r="F410" t="s">
        <v>160</v>
      </c>
      <c r="G410" t="s">
        <v>133</v>
      </c>
      <c r="H410" t="s">
        <v>40</v>
      </c>
      <c r="I410" t="str">
        <f>_xlfn.XLOOKUP(H410,Charge_Reference!A:A,Charge_Reference!B:B)</f>
        <v>Annual Bloodwork</v>
      </c>
      <c r="J410" s="8">
        <v>723.11189999999999</v>
      </c>
      <c r="K410" t="s">
        <v>3</v>
      </c>
      <c r="L410" t="str">
        <f t="shared" si="6"/>
        <v>No instructions needed</v>
      </c>
    </row>
    <row r="411" spans="1:12" x14ac:dyDescent="0.3">
      <c r="A411">
        <v>410</v>
      </c>
      <c r="B411">
        <v>32</v>
      </c>
      <c r="C411">
        <v>64</v>
      </c>
      <c r="D411" t="s">
        <v>84</v>
      </c>
      <c r="E411" t="s">
        <v>29</v>
      </c>
      <c r="F411" t="s">
        <v>53</v>
      </c>
      <c r="G411" t="s">
        <v>325</v>
      </c>
      <c r="H411" t="s">
        <v>55</v>
      </c>
      <c r="I411" t="str">
        <f>_xlfn.XLOOKUP(H411,Charge_Reference!A:A,Charge_Reference!B:B)</f>
        <v>Vaccination</v>
      </c>
      <c r="J411" s="8">
        <v>229.51169999999999</v>
      </c>
      <c r="K411" t="s">
        <v>5</v>
      </c>
      <c r="L411" t="str">
        <f t="shared" si="6"/>
        <v>No instructions needed</v>
      </c>
    </row>
    <row r="412" spans="1:12" x14ac:dyDescent="0.3">
      <c r="A412">
        <v>411</v>
      </c>
      <c r="B412">
        <v>171</v>
      </c>
      <c r="C412">
        <v>115</v>
      </c>
      <c r="D412" t="s">
        <v>28</v>
      </c>
      <c r="E412" t="s">
        <v>29</v>
      </c>
      <c r="F412" t="s">
        <v>49</v>
      </c>
      <c r="G412" t="s">
        <v>352</v>
      </c>
      <c r="H412" t="s">
        <v>36</v>
      </c>
      <c r="I412" t="str">
        <f>_xlfn.XLOOKUP(H412,Charge_Reference!A:A,Charge_Reference!B:B)</f>
        <v>Emergency Visit</v>
      </c>
      <c r="J412" s="8">
        <v>68.335300000000004</v>
      </c>
      <c r="K412" t="s">
        <v>7</v>
      </c>
      <c r="L412" t="str">
        <f t="shared" si="6"/>
        <v>No instructions needed</v>
      </c>
    </row>
    <row r="413" spans="1:12" x14ac:dyDescent="0.3">
      <c r="A413">
        <v>412</v>
      </c>
      <c r="B413">
        <v>23</v>
      </c>
      <c r="C413">
        <v>111</v>
      </c>
      <c r="D413" t="s">
        <v>214</v>
      </c>
      <c r="E413" t="s">
        <v>29</v>
      </c>
      <c r="F413" t="s">
        <v>102</v>
      </c>
      <c r="G413" t="s">
        <v>362</v>
      </c>
      <c r="H413" t="s">
        <v>32</v>
      </c>
      <c r="I413" t="str">
        <f>_xlfn.XLOOKUP(H413,Charge_Reference!A:A,Charge_Reference!B:B)</f>
        <v>Surgery</v>
      </c>
      <c r="J413" s="8">
        <v>842.56870000000004</v>
      </c>
      <c r="K413" t="s">
        <v>5</v>
      </c>
      <c r="L413" t="str">
        <f t="shared" si="6"/>
        <v>Needs TGH instructions</v>
      </c>
    </row>
    <row r="414" spans="1:12" x14ac:dyDescent="0.3">
      <c r="A414">
        <v>413</v>
      </c>
      <c r="B414">
        <v>127</v>
      </c>
      <c r="C414">
        <v>101</v>
      </c>
      <c r="D414" t="s">
        <v>84</v>
      </c>
      <c r="E414" t="s">
        <v>29</v>
      </c>
      <c r="F414" t="s">
        <v>73</v>
      </c>
      <c r="G414" t="s">
        <v>363</v>
      </c>
      <c r="H414" t="s">
        <v>64</v>
      </c>
      <c r="I414" t="str">
        <f>_xlfn.XLOOKUP(H414,Charge_Reference!A:A,Charge_Reference!B:B)</f>
        <v>Nail Trim</v>
      </c>
      <c r="J414" s="8">
        <v>52.573999999999998</v>
      </c>
      <c r="K414" t="s">
        <v>5</v>
      </c>
      <c r="L414" t="str">
        <f t="shared" si="6"/>
        <v>No instructions needed</v>
      </c>
    </row>
    <row r="415" spans="1:12" x14ac:dyDescent="0.3">
      <c r="A415">
        <v>414</v>
      </c>
      <c r="B415">
        <v>128</v>
      </c>
      <c r="C415">
        <v>27</v>
      </c>
      <c r="D415" t="s">
        <v>139</v>
      </c>
      <c r="E415" t="s">
        <v>41</v>
      </c>
      <c r="F415" t="s">
        <v>61</v>
      </c>
      <c r="G415" t="s">
        <v>342</v>
      </c>
      <c r="H415" t="s">
        <v>59</v>
      </c>
      <c r="I415" t="str">
        <f>_xlfn.XLOOKUP(H415,Charge_Reference!A:A,Charge_Reference!B:B)</f>
        <v>Office Visit</v>
      </c>
      <c r="J415" s="8">
        <v>502.20069999999998</v>
      </c>
      <c r="K415" t="s">
        <v>3</v>
      </c>
      <c r="L415" t="str">
        <f t="shared" si="6"/>
        <v>No instructions needed</v>
      </c>
    </row>
    <row r="416" spans="1:12" x14ac:dyDescent="0.3">
      <c r="A416">
        <v>415</v>
      </c>
      <c r="B416">
        <v>93</v>
      </c>
      <c r="C416">
        <v>46</v>
      </c>
      <c r="D416" t="s">
        <v>113</v>
      </c>
      <c r="E416" t="s">
        <v>41</v>
      </c>
      <c r="F416" t="s">
        <v>171</v>
      </c>
      <c r="G416" t="s">
        <v>119</v>
      </c>
      <c r="H416" t="s">
        <v>36</v>
      </c>
      <c r="I416" t="str">
        <f>_xlfn.XLOOKUP(H416,Charge_Reference!A:A,Charge_Reference!B:B)</f>
        <v>Emergency Visit</v>
      </c>
      <c r="J416" s="8">
        <v>881.2441</v>
      </c>
      <c r="K416" t="s">
        <v>7</v>
      </c>
      <c r="L416" t="str">
        <f t="shared" si="6"/>
        <v>No instructions needed</v>
      </c>
    </row>
    <row r="417" spans="1:12" x14ac:dyDescent="0.3">
      <c r="A417">
        <v>416</v>
      </c>
      <c r="B417">
        <v>98</v>
      </c>
      <c r="C417">
        <v>138</v>
      </c>
      <c r="D417" t="s">
        <v>91</v>
      </c>
      <c r="E417" t="s">
        <v>29</v>
      </c>
      <c r="F417" t="s">
        <v>61</v>
      </c>
      <c r="G417" t="s">
        <v>229</v>
      </c>
      <c r="H417" t="s">
        <v>32</v>
      </c>
      <c r="I417" t="str">
        <f>_xlfn.XLOOKUP(H417,Charge_Reference!A:A,Charge_Reference!B:B)</f>
        <v>Surgery</v>
      </c>
      <c r="J417" s="8">
        <v>137.04509999999999</v>
      </c>
      <c r="K417" t="s">
        <v>3</v>
      </c>
      <c r="L417" t="str">
        <f t="shared" si="6"/>
        <v>Needs TGH instructions</v>
      </c>
    </row>
    <row r="418" spans="1:12" x14ac:dyDescent="0.3">
      <c r="A418">
        <v>417</v>
      </c>
      <c r="B418">
        <v>54</v>
      </c>
      <c r="C418">
        <v>3</v>
      </c>
      <c r="D418" t="s">
        <v>60</v>
      </c>
      <c r="E418" t="s">
        <v>41</v>
      </c>
      <c r="F418" t="s">
        <v>171</v>
      </c>
      <c r="G418" t="s">
        <v>364</v>
      </c>
      <c r="H418" t="s">
        <v>59</v>
      </c>
      <c r="I418" t="str">
        <f>_xlfn.XLOOKUP(H418,Charge_Reference!A:A,Charge_Reference!B:B)</f>
        <v>Office Visit</v>
      </c>
      <c r="J418" s="8">
        <v>-71.841300000000004</v>
      </c>
      <c r="K418" t="s">
        <v>5</v>
      </c>
      <c r="L418" t="str">
        <f t="shared" si="6"/>
        <v>No instructions needed</v>
      </c>
    </row>
    <row r="419" spans="1:12" x14ac:dyDescent="0.3">
      <c r="A419">
        <v>418</v>
      </c>
      <c r="B419">
        <v>191</v>
      </c>
      <c r="C419">
        <v>105</v>
      </c>
      <c r="D419" t="s">
        <v>37</v>
      </c>
      <c r="E419" t="s">
        <v>29</v>
      </c>
      <c r="F419" t="s">
        <v>171</v>
      </c>
      <c r="G419" t="s">
        <v>365</v>
      </c>
      <c r="H419" t="s">
        <v>55</v>
      </c>
      <c r="I419" t="str">
        <f>_xlfn.XLOOKUP(H419,Charge_Reference!A:A,Charge_Reference!B:B)</f>
        <v>Vaccination</v>
      </c>
      <c r="J419" s="8">
        <v>438.97129999999999</v>
      </c>
      <c r="K419" t="s">
        <v>5</v>
      </c>
      <c r="L419" t="str">
        <f t="shared" si="6"/>
        <v>No instructions needed</v>
      </c>
    </row>
    <row r="420" spans="1:12" x14ac:dyDescent="0.3">
      <c r="A420">
        <v>419</v>
      </c>
      <c r="B420">
        <v>42</v>
      </c>
      <c r="C420">
        <v>123</v>
      </c>
      <c r="D420" t="s">
        <v>183</v>
      </c>
      <c r="E420" t="s">
        <v>41</v>
      </c>
      <c r="F420" t="s">
        <v>145</v>
      </c>
      <c r="G420" t="s">
        <v>358</v>
      </c>
      <c r="H420" t="s">
        <v>64</v>
      </c>
      <c r="I420" t="str">
        <f>_xlfn.XLOOKUP(H420,Charge_Reference!A:A,Charge_Reference!B:B)</f>
        <v>Nail Trim</v>
      </c>
      <c r="J420" s="8">
        <v>236.92920000000001</v>
      </c>
      <c r="K420" t="s">
        <v>7</v>
      </c>
      <c r="L420" t="str">
        <f t="shared" si="6"/>
        <v>No instructions needed</v>
      </c>
    </row>
    <row r="421" spans="1:12" x14ac:dyDescent="0.3">
      <c r="A421">
        <v>420</v>
      </c>
      <c r="B421">
        <v>169</v>
      </c>
      <c r="C421">
        <v>102</v>
      </c>
      <c r="D421" t="s">
        <v>130</v>
      </c>
      <c r="E421" t="s">
        <v>41</v>
      </c>
      <c r="F421" t="s">
        <v>102</v>
      </c>
      <c r="G421" t="s">
        <v>309</v>
      </c>
      <c r="H421" t="s">
        <v>40</v>
      </c>
      <c r="I421" t="str">
        <f>_xlfn.XLOOKUP(H421,Charge_Reference!A:A,Charge_Reference!B:B)</f>
        <v>Annual Bloodwork</v>
      </c>
      <c r="J421" s="8">
        <v>520.78129999999999</v>
      </c>
      <c r="K421" t="s">
        <v>5</v>
      </c>
      <c r="L421" t="str">
        <f t="shared" si="6"/>
        <v>No instructions needed</v>
      </c>
    </row>
    <row r="422" spans="1:12" x14ac:dyDescent="0.3">
      <c r="A422">
        <v>421</v>
      </c>
      <c r="B422">
        <v>195</v>
      </c>
      <c r="C422">
        <v>56</v>
      </c>
      <c r="D422" t="s">
        <v>142</v>
      </c>
      <c r="E422" t="s">
        <v>41</v>
      </c>
      <c r="F422" t="s">
        <v>94</v>
      </c>
      <c r="G422" t="s">
        <v>273</v>
      </c>
      <c r="H422" t="s">
        <v>47</v>
      </c>
      <c r="I422" t="str">
        <f>_xlfn.XLOOKUP(H422,Charge_Reference!A:A,Charge_Reference!B:B)</f>
        <v>Dental Cleaning</v>
      </c>
      <c r="J422" s="8">
        <v>294.92590000000001</v>
      </c>
      <c r="K422" t="s">
        <v>5</v>
      </c>
      <c r="L422" t="str">
        <f t="shared" si="6"/>
        <v>No instructions needed</v>
      </c>
    </row>
    <row r="423" spans="1:12" x14ac:dyDescent="0.3">
      <c r="A423">
        <v>422</v>
      </c>
      <c r="B423">
        <v>60</v>
      </c>
      <c r="C423">
        <v>3</v>
      </c>
      <c r="D423" t="s">
        <v>183</v>
      </c>
      <c r="E423" t="s">
        <v>29</v>
      </c>
      <c r="F423" t="s">
        <v>53</v>
      </c>
      <c r="G423" t="s">
        <v>54</v>
      </c>
      <c r="H423" t="s">
        <v>36</v>
      </c>
      <c r="I423" t="str">
        <f>_xlfn.XLOOKUP(H423,Charge_Reference!A:A,Charge_Reference!B:B)</f>
        <v>Emergency Visit</v>
      </c>
      <c r="J423" s="8">
        <v>127.8862</v>
      </c>
      <c r="K423" t="s">
        <v>3</v>
      </c>
      <c r="L423" t="str">
        <f t="shared" si="6"/>
        <v>No instructions needed</v>
      </c>
    </row>
    <row r="424" spans="1:12" x14ac:dyDescent="0.3">
      <c r="A424">
        <v>423</v>
      </c>
      <c r="B424">
        <v>21</v>
      </c>
      <c r="C424">
        <v>5</v>
      </c>
      <c r="D424" t="s">
        <v>93</v>
      </c>
      <c r="E424" t="s">
        <v>41</v>
      </c>
      <c r="F424" t="s">
        <v>160</v>
      </c>
      <c r="G424" t="s">
        <v>246</v>
      </c>
      <c r="H424" t="s">
        <v>64</v>
      </c>
      <c r="I424" t="str">
        <f>_xlfn.XLOOKUP(H424,Charge_Reference!A:A,Charge_Reference!B:B)</f>
        <v>Nail Trim</v>
      </c>
      <c r="J424" s="8">
        <v>605.0865</v>
      </c>
      <c r="K424" t="s">
        <v>3</v>
      </c>
      <c r="L424" t="str">
        <f t="shared" si="6"/>
        <v>No instructions needed</v>
      </c>
    </row>
    <row r="425" spans="1:12" x14ac:dyDescent="0.3">
      <c r="A425">
        <v>424</v>
      </c>
      <c r="B425">
        <v>191</v>
      </c>
      <c r="C425">
        <v>10</v>
      </c>
      <c r="D425" t="s">
        <v>211</v>
      </c>
      <c r="E425" t="s">
        <v>41</v>
      </c>
      <c r="F425" t="s">
        <v>73</v>
      </c>
      <c r="G425" t="s">
        <v>180</v>
      </c>
      <c r="H425" t="s">
        <v>36</v>
      </c>
      <c r="I425" t="str">
        <f>_xlfn.XLOOKUP(H425,Charge_Reference!A:A,Charge_Reference!B:B)</f>
        <v>Emergency Visit</v>
      </c>
      <c r="J425" s="8">
        <v>-49.531799999999997</v>
      </c>
      <c r="K425" t="s">
        <v>7</v>
      </c>
      <c r="L425" t="str">
        <f t="shared" si="6"/>
        <v>No instructions needed</v>
      </c>
    </row>
    <row r="426" spans="1:12" x14ac:dyDescent="0.3">
      <c r="A426">
        <v>425</v>
      </c>
      <c r="B426">
        <v>166</v>
      </c>
      <c r="C426">
        <v>59</v>
      </c>
      <c r="D426" t="s">
        <v>96</v>
      </c>
      <c r="E426" t="s">
        <v>29</v>
      </c>
      <c r="F426" t="s">
        <v>61</v>
      </c>
      <c r="G426" t="s">
        <v>193</v>
      </c>
      <c r="H426" t="s">
        <v>64</v>
      </c>
      <c r="I426" t="str">
        <f>_xlfn.XLOOKUP(H426,Charge_Reference!A:A,Charge_Reference!B:B)</f>
        <v>Nail Trim</v>
      </c>
      <c r="J426" s="8">
        <v>-15.394600000000001</v>
      </c>
      <c r="K426" t="s">
        <v>7</v>
      </c>
      <c r="L426" t="str">
        <f t="shared" si="6"/>
        <v>No instructions needed</v>
      </c>
    </row>
    <row r="427" spans="1:12" x14ac:dyDescent="0.3">
      <c r="A427">
        <v>426</v>
      </c>
      <c r="B427">
        <v>55</v>
      </c>
      <c r="C427">
        <v>113</v>
      </c>
      <c r="D427" t="s">
        <v>89</v>
      </c>
      <c r="E427" t="s">
        <v>29</v>
      </c>
      <c r="F427" t="s">
        <v>45</v>
      </c>
      <c r="G427" t="s">
        <v>366</v>
      </c>
      <c r="H427" t="s">
        <v>47</v>
      </c>
      <c r="I427" t="str">
        <f>_xlfn.XLOOKUP(H427,Charge_Reference!A:A,Charge_Reference!B:B)</f>
        <v>Dental Cleaning</v>
      </c>
      <c r="J427" s="8">
        <v>354.79910000000001</v>
      </c>
      <c r="K427" t="s">
        <v>5</v>
      </c>
      <c r="L427" t="str">
        <f t="shared" si="6"/>
        <v>No instructions needed</v>
      </c>
    </row>
    <row r="428" spans="1:12" x14ac:dyDescent="0.3">
      <c r="A428">
        <v>427</v>
      </c>
      <c r="B428">
        <v>155</v>
      </c>
      <c r="C428">
        <v>62</v>
      </c>
      <c r="D428" t="s">
        <v>101</v>
      </c>
      <c r="E428" t="s">
        <v>41</v>
      </c>
      <c r="F428" t="s">
        <v>116</v>
      </c>
      <c r="G428" t="s">
        <v>231</v>
      </c>
      <c r="H428" t="s">
        <v>47</v>
      </c>
      <c r="I428" t="str">
        <f>_xlfn.XLOOKUP(H428,Charge_Reference!A:A,Charge_Reference!B:B)</f>
        <v>Dental Cleaning</v>
      </c>
      <c r="J428" s="8">
        <v>69.934600000000003</v>
      </c>
      <c r="K428" t="s">
        <v>5</v>
      </c>
      <c r="L428" t="str">
        <f t="shared" si="6"/>
        <v>No instructions needed</v>
      </c>
    </row>
    <row r="429" spans="1:12" x14ac:dyDescent="0.3">
      <c r="A429">
        <v>428</v>
      </c>
      <c r="B429">
        <v>156</v>
      </c>
      <c r="C429">
        <v>11</v>
      </c>
      <c r="D429" t="s">
        <v>147</v>
      </c>
      <c r="E429" t="s">
        <v>41</v>
      </c>
      <c r="F429" t="s">
        <v>116</v>
      </c>
      <c r="G429" t="s">
        <v>367</v>
      </c>
      <c r="H429" t="s">
        <v>40</v>
      </c>
      <c r="I429" t="str">
        <f>_xlfn.XLOOKUP(H429,Charge_Reference!A:A,Charge_Reference!B:B)</f>
        <v>Annual Bloodwork</v>
      </c>
      <c r="J429" s="8">
        <v>15.882</v>
      </c>
      <c r="K429" t="s">
        <v>7</v>
      </c>
      <c r="L429" t="str">
        <f t="shared" si="6"/>
        <v>No instructions needed</v>
      </c>
    </row>
    <row r="430" spans="1:12" x14ac:dyDescent="0.3">
      <c r="A430">
        <v>429</v>
      </c>
      <c r="B430">
        <v>187</v>
      </c>
      <c r="C430">
        <v>57</v>
      </c>
      <c r="D430" t="s">
        <v>89</v>
      </c>
      <c r="E430" t="s">
        <v>41</v>
      </c>
      <c r="F430" t="s">
        <v>145</v>
      </c>
      <c r="G430" t="s">
        <v>268</v>
      </c>
      <c r="H430" t="s">
        <v>47</v>
      </c>
      <c r="I430" t="str">
        <f>_xlfn.XLOOKUP(H430,Charge_Reference!A:A,Charge_Reference!B:B)</f>
        <v>Dental Cleaning</v>
      </c>
      <c r="J430" s="8">
        <v>28.459700000000002</v>
      </c>
      <c r="K430" t="s">
        <v>5</v>
      </c>
      <c r="L430" t="str">
        <f t="shared" si="6"/>
        <v>No instructions needed</v>
      </c>
    </row>
    <row r="431" spans="1:12" x14ac:dyDescent="0.3">
      <c r="A431">
        <v>430</v>
      </c>
      <c r="B431">
        <v>79</v>
      </c>
      <c r="C431">
        <v>16</v>
      </c>
      <c r="D431" t="s">
        <v>28</v>
      </c>
      <c r="E431" t="s">
        <v>41</v>
      </c>
      <c r="F431" t="s">
        <v>118</v>
      </c>
      <c r="G431" t="s">
        <v>306</v>
      </c>
      <c r="H431" t="s">
        <v>55</v>
      </c>
      <c r="I431" t="str">
        <f>_xlfn.XLOOKUP(H431,Charge_Reference!A:A,Charge_Reference!B:B)</f>
        <v>Vaccination</v>
      </c>
      <c r="J431" s="8">
        <v>345.41129999999998</v>
      </c>
      <c r="K431" t="s">
        <v>3</v>
      </c>
      <c r="L431" t="str">
        <f t="shared" si="6"/>
        <v>No instructions needed</v>
      </c>
    </row>
    <row r="432" spans="1:12" x14ac:dyDescent="0.3">
      <c r="A432">
        <v>431</v>
      </c>
      <c r="B432">
        <v>197</v>
      </c>
      <c r="C432">
        <v>96</v>
      </c>
      <c r="D432" t="s">
        <v>70</v>
      </c>
      <c r="E432" t="s">
        <v>41</v>
      </c>
      <c r="F432" t="s">
        <v>38</v>
      </c>
      <c r="G432" t="s">
        <v>202</v>
      </c>
      <c r="H432" t="s">
        <v>36</v>
      </c>
      <c r="I432" t="str">
        <f>_xlfn.XLOOKUP(H432,Charge_Reference!A:A,Charge_Reference!B:B)</f>
        <v>Emergency Visit</v>
      </c>
      <c r="J432" s="8">
        <v>218.51599999999999</v>
      </c>
      <c r="K432" t="s">
        <v>7</v>
      </c>
      <c r="L432" t="str">
        <f t="shared" si="6"/>
        <v>No instructions needed</v>
      </c>
    </row>
    <row r="433" spans="1:12" x14ac:dyDescent="0.3">
      <c r="A433">
        <v>432</v>
      </c>
      <c r="B433">
        <v>191</v>
      </c>
      <c r="C433">
        <v>65</v>
      </c>
      <c r="D433" t="s">
        <v>89</v>
      </c>
      <c r="E433" t="s">
        <v>29</v>
      </c>
      <c r="F433" t="s">
        <v>87</v>
      </c>
      <c r="G433" t="s">
        <v>368</v>
      </c>
      <c r="H433" t="s">
        <v>64</v>
      </c>
      <c r="I433" t="str">
        <f>_xlfn.XLOOKUP(H433,Charge_Reference!A:A,Charge_Reference!B:B)</f>
        <v>Nail Trim</v>
      </c>
      <c r="J433" s="8">
        <v>696.08249999999998</v>
      </c>
      <c r="K433" t="s">
        <v>5</v>
      </c>
      <c r="L433" t="str">
        <f t="shared" si="6"/>
        <v>No instructions needed</v>
      </c>
    </row>
    <row r="434" spans="1:12" x14ac:dyDescent="0.3">
      <c r="A434">
        <v>433</v>
      </c>
      <c r="B434">
        <v>129</v>
      </c>
      <c r="C434">
        <v>8</v>
      </c>
      <c r="D434" t="s">
        <v>120</v>
      </c>
      <c r="E434" t="s">
        <v>29</v>
      </c>
      <c r="F434" t="s">
        <v>151</v>
      </c>
      <c r="G434" t="s">
        <v>251</v>
      </c>
      <c r="H434" t="s">
        <v>47</v>
      </c>
      <c r="I434" t="str">
        <f>_xlfn.XLOOKUP(H434,Charge_Reference!A:A,Charge_Reference!B:B)</f>
        <v>Dental Cleaning</v>
      </c>
      <c r="J434" s="8">
        <v>-115.9387</v>
      </c>
      <c r="K434" t="s">
        <v>5</v>
      </c>
      <c r="L434" t="str">
        <f t="shared" si="6"/>
        <v>No instructions needed</v>
      </c>
    </row>
    <row r="435" spans="1:12" x14ac:dyDescent="0.3">
      <c r="A435">
        <v>434</v>
      </c>
      <c r="B435">
        <v>149</v>
      </c>
      <c r="C435">
        <v>150</v>
      </c>
      <c r="D435" t="s">
        <v>154</v>
      </c>
      <c r="E435" t="s">
        <v>41</v>
      </c>
      <c r="F435" t="s">
        <v>102</v>
      </c>
      <c r="G435" t="s">
        <v>369</v>
      </c>
      <c r="H435" t="s">
        <v>51</v>
      </c>
      <c r="I435" t="str">
        <f>_xlfn.XLOOKUP(H435,Charge_Reference!A:A,Charge_Reference!B:B)</f>
        <v>Radiographs</v>
      </c>
      <c r="J435" s="8">
        <v>-42.471699999999998</v>
      </c>
      <c r="K435" t="s">
        <v>3</v>
      </c>
      <c r="L435" t="str">
        <f t="shared" si="6"/>
        <v>No instructions needed</v>
      </c>
    </row>
    <row r="436" spans="1:12" x14ac:dyDescent="0.3">
      <c r="A436">
        <v>435</v>
      </c>
      <c r="B436">
        <v>50</v>
      </c>
      <c r="C436">
        <v>32</v>
      </c>
      <c r="D436" t="s">
        <v>96</v>
      </c>
      <c r="E436" t="s">
        <v>29</v>
      </c>
      <c r="F436" t="s">
        <v>71</v>
      </c>
      <c r="G436" t="s">
        <v>336</v>
      </c>
      <c r="H436" t="s">
        <v>40</v>
      </c>
      <c r="I436" t="str">
        <f>_xlfn.XLOOKUP(H436,Charge_Reference!A:A,Charge_Reference!B:B)</f>
        <v>Annual Bloodwork</v>
      </c>
      <c r="J436" s="8">
        <v>272.9402</v>
      </c>
      <c r="K436" t="s">
        <v>5</v>
      </c>
      <c r="L436" t="str">
        <f t="shared" si="6"/>
        <v>No instructions needed</v>
      </c>
    </row>
    <row r="437" spans="1:12" x14ac:dyDescent="0.3">
      <c r="A437">
        <v>436</v>
      </c>
      <c r="B437">
        <v>140</v>
      </c>
      <c r="C437">
        <v>25</v>
      </c>
      <c r="D437" t="s">
        <v>93</v>
      </c>
      <c r="E437" t="s">
        <v>29</v>
      </c>
      <c r="F437" t="s">
        <v>61</v>
      </c>
      <c r="G437" t="s">
        <v>137</v>
      </c>
      <c r="H437" t="s">
        <v>36</v>
      </c>
      <c r="I437" t="str">
        <f>_xlfn.XLOOKUP(H437,Charge_Reference!A:A,Charge_Reference!B:B)</f>
        <v>Emergency Visit</v>
      </c>
      <c r="J437" s="8">
        <v>750.29740000000004</v>
      </c>
      <c r="K437" t="s">
        <v>5</v>
      </c>
      <c r="L437" t="str">
        <f t="shared" si="6"/>
        <v>No instructions needed</v>
      </c>
    </row>
    <row r="438" spans="1:12" x14ac:dyDescent="0.3">
      <c r="A438">
        <v>437</v>
      </c>
      <c r="B438">
        <v>158</v>
      </c>
      <c r="C438">
        <v>93</v>
      </c>
      <c r="D438" t="s">
        <v>142</v>
      </c>
      <c r="E438" t="s">
        <v>41</v>
      </c>
      <c r="F438" t="s">
        <v>111</v>
      </c>
      <c r="G438" t="s">
        <v>370</v>
      </c>
      <c r="H438" t="s">
        <v>47</v>
      </c>
      <c r="I438" t="str">
        <f>_xlfn.XLOOKUP(H438,Charge_Reference!A:A,Charge_Reference!B:B)</f>
        <v>Dental Cleaning</v>
      </c>
      <c r="J438" s="8">
        <v>268.58390000000003</v>
      </c>
      <c r="K438" t="s">
        <v>5</v>
      </c>
      <c r="L438" t="str">
        <f t="shared" si="6"/>
        <v>No instructions needed</v>
      </c>
    </row>
    <row r="439" spans="1:12" x14ac:dyDescent="0.3">
      <c r="A439">
        <v>438</v>
      </c>
      <c r="B439">
        <v>142</v>
      </c>
      <c r="C439">
        <v>122</v>
      </c>
      <c r="D439" t="s">
        <v>60</v>
      </c>
      <c r="E439" t="s">
        <v>29</v>
      </c>
      <c r="F439" t="s">
        <v>97</v>
      </c>
      <c r="G439" t="s">
        <v>371</v>
      </c>
      <c r="H439" t="s">
        <v>59</v>
      </c>
      <c r="I439" t="str">
        <f>_xlfn.XLOOKUP(H439,Charge_Reference!A:A,Charge_Reference!B:B)</f>
        <v>Office Visit</v>
      </c>
      <c r="J439" s="8">
        <v>216.01060000000001</v>
      </c>
      <c r="K439" t="s">
        <v>5</v>
      </c>
      <c r="L439" t="str">
        <f t="shared" si="6"/>
        <v>No instructions needed</v>
      </c>
    </row>
    <row r="440" spans="1:12" x14ac:dyDescent="0.3">
      <c r="A440">
        <v>439</v>
      </c>
      <c r="B440">
        <v>10</v>
      </c>
      <c r="C440">
        <v>5</v>
      </c>
      <c r="D440" t="s">
        <v>60</v>
      </c>
      <c r="E440" t="s">
        <v>29</v>
      </c>
      <c r="F440" t="s">
        <v>66</v>
      </c>
      <c r="G440" t="s">
        <v>323</v>
      </c>
      <c r="H440" t="s">
        <v>64</v>
      </c>
      <c r="I440" t="str">
        <f>_xlfn.XLOOKUP(H440,Charge_Reference!A:A,Charge_Reference!B:B)</f>
        <v>Nail Trim</v>
      </c>
      <c r="J440" s="8">
        <v>625.23009999999999</v>
      </c>
      <c r="K440" t="s">
        <v>5</v>
      </c>
      <c r="L440" t="str">
        <f t="shared" si="6"/>
        <v>No instructions needed</v>
      </c>
    </row>
    <row r="441" spans="1:12" x14ac:dyDescent="0.3">
      <c r="A441">
        <v>440</v>
      </c>
      <c r="B441">
        <v>16</v>
      </c>
      <c r="C441">
        <v>101</v>
      </c>
      <c r="D441" t="s">
        <v>130</v>
      </c>
      <c r="E441" t="s">
        <v>29</v>
      </c>
      <c r="F441" t="s">
        <v>94</v>
      </c>
      <c r="G441" t="s">
        <v>202</v>
      </c>
      <c r="H441" t="s">
        <v>40</v>
      </c>
      <c r="I441" t="str">
        <f>_xlfn.XLOOKUP(H441,Charge_Reference!A:A,Charge_Reference!B:B)</f>
        <v>Annual Bloodwork</v>
      </c>
      <c r="J441" s="8">
        <v>561.62599999999998</v>
      </c>
      <c r="K441" t="s">
        <v>3</v>
      </c>
      <c r="L441" t="str">
        <f t="shared" si="6"/>
        <v>No instructions needed</v>
      </c>
    </row>
    <row r="442" spans="1:12" x14ac:dyDescent="0.3">
      <c r="A442">
        <v>441</v>
      </c>
      <c r="B442">
        <v>151</v>
      </c>
      <c r="C442">
        <v>10</v>
      </c>
      <c r="D442" t="s">
        <v>89</v>
      </c>
      <c r="E442" t="s">
        <v>29</v>
      </c>
      <c r="F442" t="s">
        <v>104</v>
      </c>
      <c r="G442" t="s">
        <v>372</v>
      </c>
      <c r="H442" t="s">
        <v>59</v>
      </c>
      <c r="I442" t="str">
        <f>_xlfn.XLOOKUP(H442,Charge_Reference!A:A,Charge_Reference!B:B)</f>
        <v>Office Visit</v>
      </c>
      <c r="J442" s="8">
        <v>198.31469999999999</v>
      </c>
      <c r="K442" t="s">
        <v>7</v>
      </c>
      <c r="L442" t="str">
        <f t="shared" si="6"/>
        <v>No instructions needed</v>
      </c>
    </row>
    <row r="443" spans="1:12" x14ac:dyDescent="0.3">
      <c r="A443">
        <v>442</v>
      </c>
      <c r="B443">
        <v>119</v>
      </c>
      <c r="C443">
        <v>80</v>
      </c>
      <c r="D443" t="s">
        <v>56</v>
      </c>
      <c r="E443" t="s">
        <v>41</v>
      </c>
      <c r="F443" t="s">
        <v>94</v>
      </c>
      <c r="G443" t="s">
        <v>359</v>
      </c>
      <c r="H443" t="s">
        <v>40</v>
      </c>
      <c r="I443" t="str">
        <f>_xlfn.XLOOKUP(H443,Charge_Reference!A:A,Charge_Reference!B:B)</f>
        <v>Annual Bloodwork</v>
      </c>
      <c r="J443" s="8">
        <v>41.808</v>
      </c>
      <c r="K443" t="s">
        <v>5</v>
      </c>
      <c r="L443" t="str">
        <f t="shared" si="6"/>
        <v>No instructions needed</v>
      </c>
    </row>
    <row r="444" spans="1:12" x14ac:dyDescent="0.3">
      <c r="A444">
        <v>443</v>
      </c>
      <c r="B444">
        <v>97</v>
      </c>
      <c r="C444">
        <v>63</v>
      </c>
      <c r="D444" t="s">
        <v>142</v>
      </c>
      <c r="E444" t="s">
        <v>29</v>
      </c>
      <c r="F444" t="s">
        <v>102</v>
      </c>
      <c r="G444" t="s">
        <v>150</v>
      </c>
      <c r="H444" t="s">
        <v>55</v>
      </c>
      <c r="I444" t="str">
        <f>_xlfn.XLOOKUP(H444,Charge_Reference!A:A,Charge_Reference!B:B)</f>
        <v>Vaccination</v>
      </c>
      <c r="J444" s="8">
        <v>14.260400000000001</v>
      </c>
      <c r="K444" t="s">
        <v>3</v>
      </c>
      <c r="L444" t="str">
        <f t="shared" si="6"/>
        <v>No instructions needed</v>
      </c>
    </row>
    <row r="445" spans="1:12" x14ac:dyDescent="0.3">
      <c r="A445">
        <v>444</v>
      </c>
      <c r="B445">
        <v>145</v>
      </c>
      <c r="C445">
        <v>97</v>
      </c>
      <c r="D445" t="s">
        <v>28</v>
      </c>
      <c r="E445" t="s">
        <v>41</v>
      </c>
      <c r="F445" t="s">
        <v>116</v>
      </c>
      <c r="G445" t="s">
        <v>373</v>
      </c>
      <c r="H445" t="s">
        <v>40</v>
      </c>
      <c r="I445" t="str">
        <f>_xlfn.XLOOKUP(H445,Charge_Reference!A:A,Charge_Reference!B:B)</f>
        <v>Annual Bloodwork</v>
      </c>
      <c r="J445" s="8">
        <v>320.67250000000001</v>
      </c>
      <c r="K445" t="s">
        <v>5</v>
      </c>
      <c r="L445" t="str">
        <f t="shared" si="6"/>
        <v>No instructions needed</v>
      </c>
    </row>
    <row r="446" spans="1:12" x14ac:dyDescent="0.3">
      <c r="A446">
        <v>445</v>
      </c>
      <c r="B446">
        <v>99</v>
      </c>
      <c r="C446">
        <v>150</v>
      </c>
      <c r="D446" t="s">
        <v>176</v>
      </c>
      <c r="E446" t="s">
        <v>41</v>
      </c>
      <c r="F446" t="s">
        <v>49</v>
      </c>
      <c r="G446" t="s">
        <v>58</v>
      </c>
      <c r="H446" t="s">
        <v>55</v>
      </c>
      <c r="I446" t="str">
        <f>_xlfn.XLOOKUP(H446,Charge_Reference!A:A,Charge_Reference!B:B)</f>
        <v>Vaccination</v>
      </c>
      <c r="J446" s="8">
        <v>335.90519999999998</v>
      </c>
      <c r="K446" t="s">
        <v>3</v>
      </c>
      <c r="L446" t="str">
        <f t="shared" si="6"/>
        <v>No instructions needed</v>
      </c>
    </row>
    <row r="447" spans="1:12" x14ac:dyDescent="0.3">
      <c r="A447">
        <v>446</v>
      </c>
      <c r="B447">
        <v>59</v>
      </c>
      <c r="C447">
        <v>101</v>
      </c>
      <c r="D447" t="s">
        <v>162</v>
      </c>
      <c r="E447" t="s">
        <v>29</v>
      </c>
      <c r="F447" t="s">
        <v>111</v>
      </c>
      <c r="G447" t="s">
        <v>374</v>
      </c>
      <c r="H447" t="s">
        <v>40</v>
      </c>
      <c r="I447" t="str">
        <f>_xlfn.XLOOKUP(H447,Charge_Reference!A:A,Charge_Reference!B:B)</f>
        <v>Annual Bloodwork</v>
      </c>
      <c r="J447" s="8">
        <v>-101.4098</v>
      </c>
      <c r="K447" t="s">
        <v>7</v>
      </c>
      <c r="L447" t="str">
        <f t="shared" si="6"/>
        <v>No instructions needed</v>
      </c>
    </row>
    <row r="448" spans="1:12" x14ac:dyDescent="0.3">
      <c r="A448">
        <v>447</v>
      </c>
      <c r="B448">
        <v>77</v>
      </c>
      <c r="C448">
        <v>141</v>
      </c>
      <c r="D448" t="s">
        <v>33</v>
      </c>
      <c r="E448" t="s">
        <v>41</v>
      </c>
      <c r="F448" t="s">
        <v>107</v>
      </c>
      <c r="G448" t="s">
        <v>375</v>
      </c>
      <c r="H448" t="s">
        <v>64</v>
      </c>
      <c r="I448" t="str">
        <f>_xlfn.XLOOKUP(H448,Charge_Reference!A:A,Charge_Reference!B:B)</f>
        <v>Nail Trim</v>
      </c>
      <c r="J448" s="8">
        <v>487.64760000000001</v>
      </c>
      <c r="K448" t="s">
        <v>3</v>
      </c>
      <c r="L448" t="str">
        <f t="shared" si="6"/>
        <v>No instructions needed</v>
      </c>
    </row>
    <row r="449" spans="1:12" x14ac:dyDescent="0.3">
      <c r="A449">
        <v>448</v>
      </c>
      <c r="B449">
        <v>133</v>
      </c>
      <c r="C449">
        <v>104</v>
      </c>
      <c r="D449" t="s">
        <v>185</v>
      </c>
      <c r="E449" t="s">
        <v>41</v>
      </c>
      <c r="F449" t="s">
        <v>135</v>
      </c>
      <c r="G449" t="s">
        <v>376</v>
      </c>
      <c r="H449" t="s">
        <v>55</v>
      </c>
      <c r="I449" t="str">
        <f>_xlfn.XLOOKUP(H449,Charge_Reference!A:A,Charge_Reference!B:B)</f>
        <v>Vaccination</v>
      </c>
      <c r="J449" s="8">
        <v>-74.623000000000005</v>
      </c>
      <c r="K449" t="s">
        <v>5</v>
      </c>
      <c r="L449" t="str">
        <f t="shared" si="6"/>
        <v>No instructions needed</v>
      </c>
    </row>
    <row r="450" spans="1:12" x14ac:dyDescent="0.3">
      <c r="A450">
        <v>449</v>
      </c>
      <c r="B450">
        <v>113</v>
      </c>
      <c r="C450">
        <v>131</v>
      </c>
      <c r="D450" t="s">
        <v>312</v>
      </c>
      <c r="E450" t="s">
        <v>41</v>
      </c>
      <c r="F450" t="s">
        <v>104</v>
      </c>
      <c r="G450" t="s">
        <v>377</v>
      </c>
      <c r="H450" t="s">
        <v>47</v>
      </c>
      <c r="I450" t="str">
        <f>_xlfn.XLOOKUP(H450,Charge_Reference!A:A,Charge_Reference!B:B)</f>
        <v>Dental Cleaning</v>
      </c>
      <c r="J450" s="8">
        <v>413.75779999999997</v>
      </c>
      <c r="K450" t="s">
        <v>5</v>
      </c>
      <c r="L450" t="str">
        <f t="shared" si="6"/>
        <v>No instructions needed</v>
      </c>
    </row>
    <row r="451" spans="1:12" x14ac:dyDescent="0.3">
      <c r="A451">
        <v>450</v>
      </c>
      <c r="B451">
        <v>185</v>
      </c>
      <c r="C451">
        <v>31</v>
      </c>
      <c r="D451" t="s">
        <v>126</v>
      </c>
      <c r="E451" t="s">
        <v>41</v>
      </c>
      <c r="F451" t="s">
        <v>49</v>
      </c>
      <c r="G451" t="s">
        <v>378</v>
      </c>
      <c r="H451" t="s">
        <v>59</v>
      </c>
      <c r="I451" t="str">
        <f>_xlfn.XLOOKUP(H451,Charge_Reference!A:A,Charge_Reference!B:B)</f>
        <v>Office Visit</v>
      </c>
      <c r="J451" s="8">
        <v>516.97379999999998</v>
      </c>
      <c r="K451" t="s">
        <v>5</v>
      </c>
      <c r="L451" t="str">
        <f t="shared" ref="L451:L501" si="7">IF(I451 = "Surgery", "Needs TGH instructions", "No instructions needed")</f>
        <v>No instructions needed</v>
      </c>
    </row>
    <row r="452" spans="1:12" x14ac:dyDescent="0.3">
      <c r="A452">
        <v>451</v>
      </c>
      <c r="B452">
        <v>100</v>
      </c>
      <c r="C452">
        <v>89</v>
      </c>
      <c r="D452" t="s">
        <v>158</v>
      </c>
      <c r="E452" t="s">
        <v>29</v>
      </c>
      <c r="F452" t="s">
        <v>160</v>
      </c>
      <c r="G452" t="s">
        <v>330</v>
      </c>
      <c r="H452" t="s">
        <v>55</v>
      </c>
      <c r="I452" t="str">
        <f>_xlfn.XLOOKUP(H452,Charge_Reference!A:A,Charge_Reference!B:B)</f>
        <v>Vaccination</v>
      </c>
      <c r="J452" s="8">
        <v>772.51300000000003</v>
      </c>
      <c r="K452" t="s">
        <v>5</v>
      </c>
      <c r="L452" t="str">
        <f t="shared" si="7"/>
        <v>No instructions needed</v>
      </c>
    </row>
    <row r="453" spans="1:12" x14ac:dyDescent="0.3">
      <c r="A453">
        <v>452</v>
      </c>
      <c r="B453">
        <v>90</v>
      </c>
      <c r="C453">
        <v>100</v>
      </c>
      <c r="D453" t="s">
        <v>91</v>
      </c>
      <c r="E453" t="s">
        <v>29</v>
      </c>
      <c r="F453" t="s">
        <v>171</v>
      </c>
      <c r="G453" t="s">
        <v>164</v>
      </c>
      <c r="H453" t="s">
        <v>64</v>
      </c>
      <c r="I453" t="str">
        <f>_xlfn.XLOOKUP(H453,Charge_Reference!A:A,Charge_Reference!B:B)</f>
        <v>Nail Trim</v>
      </c>
      <c r="J453" s="8">
        <v>-265.10730000000001</v>
      </c>
      <c r="K453" t="s">
        <v>5</v>
      </c>
      <c r="L453" t="str">
        <f t="shared" si="7"/>
        <v>No instructions needed</v>
      </c>
    </row>
    <row r="454" spans="1:12" x14ac:dyDescent="0.3">
      <c r="A454">
        <v>453</v>
      </c>
      <c r="B454">
        <v>186</v>
      </c>
      <c r="C454">
        <v>35</v>
      </c>
      <c r="D454" t="s">
        <v>33</v>
      </c>
      <c r="E454" t="s">
        <v>41</v>
      </c>
      <c r="F454" t="s">
        <v>57</v>
      </c>
      <c r="G454" t="s">
        <v>79</v>
      </c>
      <c r="H454" t="s">
        <v>40</v>
      </c>
      <c r="I454" t="str">
        <f>_xlfn.XLOOKUP(H454,Charge_Reference!A:A,Charge_Reference!B:B)</f>
        <v>Annual Bloodwork</v>
      </c>
      <c r="J454" s="8">
        <v>751.71759999999995</v>
      </c>
      <c r="K454" t="s">
        <v>5</v>
      </c>
      <c r="L454" t="str">
        <f t="shared" si="7"/>
        <v>No instructions needed</v>
      </c>
    </row>
    <row r="455" spans="1:12" x14ac:dyDescent="0.3">
      <c r="A455">
        <v>454</v>
      </c>
      <c r="B455">
        <v>109</v>
      </c>
      <c r="C455">
        <v>1</v>
      </c>
      <c r="D455" t="s">
        <v>179</v>
      </c>
      <c r="E455" t="s">
        <v>29</v>
      </c>
      <c r="F455" t="s">
        <v>87</v>
      </c>
      <c r="G455" t="s">
        <v>210</v>
      </c>
      <c r="H455" t="s">
        <v>32</v>
      </c>
      <c r="I455" t="str">
        <f>_xlfn.XLOOKUP(H455,Charge_Reference!A:A,Charge_Reference!B:B)</f>
        <v>Surgery</v>
      </c>
      <c r="J455" s="8">
        <v>-196.24629999999999</v>
      </c>
      <c r="K455" t="s">
        <v>3</v>
      </c>
      <c r="L455" t="str">
        <f t="shared" si="7"/>
        <v>Needs TGH instructions</v>
      </c>
    </row>
    <row r="456" spans="1:12" x14ac:dyDescent="0.3">
      <c r="A456">
        <v>455</v>
      </c>
      <c r="B456">
        <v>158</v>
      </c>
      <c r="C456">
        <v>11</v>
      </c>
      <c r="D456" t="s">
        <v>312</v>
      </c>
      <c r="E456" t="s">
        <v>41</v>
      </c>
      <c r="F456" t="s">
        <v>107</v>
      </c>
      <c r="G456" t="s">
        <v>58</v>
      </c>
      <c r="H456" t="s">
        <v>32</v>
      </c>
      <c r="I456" t="str">
        <f>_xlfn.XLOOKUP(H456,Charge_Reference!A:A,Charge_Reference!B:B)</f>
        <v>Surgery</v>
      </c>
      <c r="J456" s="8">
        <v>411.00389999999999</v>
      </c>
      <c r="K456" t="s">
        <v>5</v>
      </c>
      <c r="L456" t="str">
        <f t="shared" si="7"/>
        <v>Needs TGH instructions</v>
      </c>
    </row>
    <row r="457" spans="1:12" x14ac:dyDescent="0.3">
      <c r="A457">
        <v>456</v>
      </c>
      <c r="B457">
        <v>96</v>
      </c>
      <c r="C457">
        <v>34</v>
      </c>
      <c r="D457" t="s">
        <v>312</v>
      </c>
      <c r="E457" t="s">
        <v>41</v>
      </c>
      <c r="F457" t="s">
        <v>87</v>
      </c>
      <c r="G457" t="s">
        <v>379</v>
      </c>
      <c r="H457" t="s">
        <v>32</v>
      </c>
      <c r="I457" t="str">
        <f>_xlfn.XLOOKUP(H457,Charge_Reference!A:A,Charge_Reference!B:B)</f>
        <v>Surgery</v>
      </c>
      <c r="J457" s="8">
        <v>-146.6465</v>
      </c>
      <c r="K457" t="s">
        <v>7</v>
      </c>
      <c r="L457" t="str">
        <f t="shared" si="7"/>
        <v>Needs TGH instructions</v>
      </c>
    </row>
    <row r="458" spans="1:12" x14ac:dyDescent="0.3">
      <c r="A458">
        <v>457</v>
      </c>
      <c r="B458">
        <v>91</v>
      </c>
      <c r="C458">
        <v>43</v>
      </c>
      <c r="D458" t="s">
        <v>28</v>
      </c>
      <c r="E458" t="s">
        <v>41</v>
      </c>
      <c r="F458" t="s">
        <v>87</v>
      </c>
      <c r="G458" t="s">
        <v>260</v>
      </c>
      <c r="H458" t="s">
        <v>64</v>
      </c>
      <c r="I458" t="str">
        <f>_xlfn.XLOOKUP(H458,Charge_Reference!A:A,Charge_Reference!B:B)</f>
        <v>Nail Trim</v>
      </c>
      <c r="J458" s="8">
        <v>887.30089999999996</v>
      </c>
      <c r="K458" t="s">
        <v>3</v>
      </c>
      <c r="L458" t="str">
        <f t="shared" si="7"/>
        <v>No instructions needed</v>
      </c>
    </row>
    <row r="459" spans="1:12" x14ac:dyDescent="0.3">
      <c r="A459">
        <v>458</v>
      </c>
      <c r="B459">
        <v>84</v>
      </c>
      <c r="C459">
        <v>48</v>
      </c>
      <c r="D459" t="s">
        <v>60</v>
      </c>
      <c r="E459" t="s">
        <v>29</v>
      </c>
      <c r="F459" t="s">
        <v>49</v>
      </c>
      <c r="G459" t="s">
        <v>173</v>
      </c>
      <c r="H459" t="s">
        <v>55</v>
      </c>
      <c r="I459" t="str">
        <f>_xlfn.XLOOKUP(H459,Charge_Reference!A:A,Charge_Reference!B:B)</f>
        <v>Vaccination</v>
      </c>
      <c r="J459" s="8">
        <v>548.89779999999996</v>
      </c>
      <c r="K459" t="s">
        <v>7</v>
      </c>
      <c r="L459" t="str">
        <f t="shared" si="7"/>
        <v>No instructions needed</v>
      </c>
    </row>
    <row r="460" spans="1:12" x14ac:dyDescent="0.3">
      <c r="A460">
        <v>459</v>
      </c>
      <c r="B460">
        <v>130</v>
      </c>
      <c r="C460">
        <v>123</v>
      </c>
      <c r="D460" t="s">
        <v>56</v>
      </c>
      <c r="E460" t="s">
        <v>29</v>
      </c>
      <c r="F460" t="s">
        <v>30</v>
      </c>
      <c r="G460" t="s">
        <v>295</v>
      </c>
      <c r="H460" t="s">
        <v>51</v>
      </c>
      <c r="I460" t="str">
        <f>_xlfn.XLOOKUP(H460,Charge_Reference!A:A,Charge_Reference!B:B)</f>
        <v>Radiographs</v>
      </c>
      <c r="J460" s="8">
        <v>-278.65839999999997</v>
      </c>
      <c r="K460" t="s">
        <v>3</v>
      </c>
      <c r="L460" t="str">
        <f t="shared" si="7"/>
        <v>No instructions needed</v>
      </c>
    </row>
    <row r="461" spans="1:12" x14ac:dyDescent="0.3">
      <c r="A461">
        <v>460</v>
      </c>
      <c r="B461">
        <v>183</v>
      </c>
      <c r="C461">
        <v>94</v>
      </c>
      <c r="D461" t="s">
        <v>185</v>
      </c>
      <c r="E461" t="s">
        <v>29</v>
      </c>
      <c r="F461" t="s">
        <v>102</v>
      </c>
      <c r="G461" t="s">
        <v>133</v>
      </c>
      <c r="H461" t="s">
        <v>36</v>
      </c>
      <c r="I461" t="str">
        <f>_xlfn.XLOOKUP(H461,Charge_Reference!A:A,Charge_Reference!B:B)</f>
        <v>Emergency Visit</v>
      </c>
      <c r="J461" s="8">
        <v>87.957400000000007</v>
      </c>
      <c r="K461" t="s">
        <v>5</v>
      </c>
      <c r="L461" t="str">
        <f t="shared" si="7"/>
        <v>No instructions needed</v>
      </c>
    </row>
    <row r="462" spans="1:12" x14ac:dyDescent="0.3">
      <c r="A462">
        <v>461</v>
      </c>
      <c r="B462">
        <v>193</v>
      </c>
      <c r="C462">
        <v>128</v>
      </c>
      <c r="D462" t="s">
        <v>149</v>
      </c>
      <c r="E462" t="s">
        <v>41</v>
      </c>
      <c r="F462" t="s">
        <v>111</v>
      </c>
      <c r="G462" t="s">
        <v>223</v>
      </c>
      <c r="H462" t="s">
        <v>51</v>
      </c>
      <c r="I462" t="str">
        <f>_xlfn.XLOOKUP(H462,Charge_Reference!A:A,Charge_Reference!B:B)</f>
        <v>Radiographs</v>
      </c>
      <c r="J462" s="8">
        <v>916.63469999999995</v>
      </c>
      <c r="K462" t="s">
        <v>5</v>
      </c>
      <c r="L462" t="str">
        <f t="shared" si="7"/>
        <v>No instructions needed</v>
      </c>
    </row>
    <row r="463" spans="1:12" x14ac:dyDescent="0.3">
      <c r="A463">
        <v>462</v>
      </c>
      <c r="B463">
        <v>33</v>
      </c>
      <c r="C463">
        <v>67</v>
      </c>
      <c r="D463" t="s">
        <v>60</v>
      </c>
      <c r="E463" t="s">
        <v>29</v>
      </c>
      <c r="F463" t="s">
        <v>53</v>
      </c>
      <c r="G463" t="s">
        <v>105</v>
      </c>
      <c r="H463" t="s">
        <v>59</v>
      </c>
      <c r="I463" t="str">
        <f>_xlfn.XLOOKUP(H463,Charge_Reference!A:A,Charge_Reference!B:B)</f>
        <v>Office Visit</v>
      </c>
      <c r="J463" s="8">
        <v>896.42859999999996</v>
      </c>
      <c r="K463" t="s">
        <v>3</v>
      </c>
      <c r="L463" t="str">
        <f t="shared" si="7"/>
        <v>No instructions needed</v>
      </c>
    </row>
    <row r="464" spans="1:12" x14ac:dyDescent="0.3">
      <c r="A464">
        <v>463</v>
      </c>
      <c r="B464">
        <v>63</v>
      </c>
      <c r="C464">
        <v>115</v>
      </c>
      <c r="D464" t="s">
        <v>179</v>
      </c>
      <c r="E464" t="s">
        <v>29</v>
      </c>
      <c r="F464" t="s">
        <v>151</v>
      </c>
      <c r="G464" t="s">
        <v>69</v>
      </c>
      <c r="H464" t="s">
        <v>55</v>
      </c>
      <c r="I464" t="str">
        <f>_xlfn.XLOOKUP(H464,Charge_Reference!A:A,Charge_Reference!B:B)</f>
        <v>Vaccination</v>
      </c>
      <c r="J464" s="8">
        <v>199.376</v>
      </c>
      <c r="K464" t="s">
        <v>5</v>
      </c>
      <c r="L464" t="str">
        <f t="shared" si="7"/>
        <v>No instructions needed</v>
      </c>
    </row>
    <row r="465" spans="1:12" x14ac:dyDescent="0.3">
      <c r="A465">
        <v>464</v>
      </c>
      <c r="B465">
        <v>86</v>
      </c>
      <c r="C465">
        <v>24</v>
      </c>
      <c r="D465" t="s">
        <v>84</v>
      </c>
      <c r="E465" t="s">
        <v>29</v>
      </c>
      <c r="F465" t="s">
        <v>151</v>
      </c>
      <c r="G465" t="s">
        <v>192</v>
      </c>
      <c r="H465" t="s">
        <v>47</v>
      </c>
      <c r="I465" t="str">
        <f>_xlfn.XLOOKUP(H465,Charge_Reference!A:A,Charge_Reference!B:B)</f>
        <v>Dental Cleaning</v>
      </c>
      <c r="J465" s="8">
        <v>538.90639999999996</v>
      </c>
      <c r="K465" t="s">
        <v>5</v>
      </c>
      <c r="L465" t="str">
        <f t="shared" si="7"/>
        <v>No instructions needed</v>
      </c>
    </row>
    <row r="466" spans="1:12" x14ac:dyDescent="0.3">
      <c r="A466">
        <v>465</v>
      </c>
      <c r="B466">
        <v>199</v>
      </c>
      <c r="C466">
        <v>35</v>
      </c>
      <c r="D466" t="s">
        <v>230</v>
      </c>
      <c r="E466" t="s">
        <v>29</v>
      </c>
      <c r="F466" t="s">
        <v>61</v>
      </c>
      <c r="G466" t="s">
        <v>292</v>
      </c>
      <c r="H466" t="s">
        <v>55</v>
      </c>
      <c r="I466" t="str">
        <f>_xlfn.XLOOKUP(H466,Charge_Reference!A:A,Charge_Reference!B:B)</f>
        <v>Vaccination</v>
      </c>
      <c r="J466" s="8">
        <v>38.111499999999999</v>
      </c>
      <c r="K466" t="s">
        <v>7</v>
      </c>
      <c r="L466" t="str">
        <f t="shared" si="7"/>
        <v>No instructions needed</v>
      </c>
    </row>
    <row r="467" spans="1:12" x14ac:dyDescent="0.3">
      <c r="A467">
        <v>466</v>
      </c>
      <c r="B467">
        <v>152</v>
      </c>
      <c r="C467">
        <v>43</v>
      </c>
      <c r="D467" t="s">
        <v>48</v>
      </c>
      <c r="E467" t="s">
        <v>29</v>
      </c>
      <c r="F467" t="s">
        <v>151</v>
      </c>
      <c r="G467" t="s">
        <v>137</v>
      </c>
      <c r="H467" t="s">
        <v>51</v>
      </c>
      <c r="I467" t="str">
        <f>_xlfn.XLOOKUP(H467,Charge_Reference!A:A,Charge_Reference!B:B)</f>
        <v>Radiographs</v>
      </c>
      <c r="J467" s="8">
        <v>199.2912</v>
      </c>
      <c r="K467" t="s">
        <v>5</v>
      </c>
      <c r="L467" t="str">
        <f t="shared" si="7"/>
        <v>No instructions needed</v>
      </c>
    </row>
    <row r="468" spans="1:12" x14ac:dyDescent="0.3">
      <c r="A468">
        <v>467</v>
      </c>
      <c r="B468">
        <v>65</v>
      </c>
      <c r="C468">
        <v>10</v>
      </c>
      <c r="D468" t="s">
        <v>84</v>
      </c>
      <c r="E468" t="s">
        <v>41</v>
      </c>
      <c r="F468" t="s">
        <v>135</v>
      </c>
      <c r="G468" t="s">
        <v>380</v>
      </c>
      <c r="H468" t="s">
        <v>47</v>
      </c>
      <c r="I468" t="str">
        <f>_xlfn.XLOOKUP(H468,Charge_Reference!A:A,Charge_Reference!B:B)</f>
        <v>Dental Cleaning</v>
      </c>
      <c r="J468" s="8">
        <v>233.59800000000001</v>
      </c>
      <c r="K468" t="s">
        <v>5</v>
      </c>
      <c r="L468" t="str">
        <f t="shared" si="7"/>
        <v>No instructions needed</v>
      </c>
    </row>
    <row r="469" spans="1:12" x14ac:dyDescent="0.3">
      <c r="A469">
        <v>468</v>
      </c>
      <c r="B469">
        <v>23</v>
      </c>
      <c r="C469">
        <v>13</v>
      </c>
      <c r="D469" t="s">
        <v>75</v>
      </c>
      <c r="E469" t="s">
        <v>41</v>
      </c>
      <c r="F469" t="s">
        <v>145</v>
      </c>
      <c r="G469" t="s">
        <v>381</v>
      </c>
      <c r="H469" t="s">
        <v>59</v>
      </c>
      <c r="I469" t="str">
        <f>_xlfn.XLOOKUP(H469,Charge_Reference!A:A,Charge_Reference!B:B)</f>
        <v>Office Visit</v>
      </c>
      <c r="J469" s="8">
        <v>-203.86930000000001</v>
      </c>
      <c r="K469" t="s">
        <v>5</v>
      </c>
      <c r="L469" t="str">
        <f t="shared" si="7"/>
        <v>No instructions needed</v>
      </c>
    </row>
    <row r="470" spans="1:12" x14ac:dyDescent="0.3">
      <c r="A470">
        <v>469</v>
      </c>
      <c r="B470">
        <v>90</v>
      </c>
      <c r="C470">
        <v>4</v>
      </c>
      <c r="D470" t="s">
        <v>65</v>
      </c>
      <c r="E470" t="s">
        <v>41</v>
      </c>
      <c r="F470" t="s">
        <v>53</v>
      </c>
      <c r="G470" t="s">
        <v>280</v>
      </c>
      <c r="H470" t="s">
        <v>51</v>
      </c>
      <c r="I470" t="str">
        <f>_xlfn.XLOOKUP(H470,Charge_Reference!A:A,Charge_Reference!B:B)</f>
        <v>Radiographs</v>
      </c>
      <c r="J470" s="8">
        <v>994.31970000000001</v>
      </c>
      <c r="K470" t="s">
        <v>5</v>
      </c>
      <c r="L470" t="str">
        <f t="shared" si="7"/>
        <v>No instructions needed</v>
      </c>
    </row>
    <row r="471" spans="1:12" x14ac:dyDescent="0.3">
      <c r="A471">
        <v>470</v>
      </c>
      <c r="B471">
        <v>100</v>
      </c>
      <c r="C471">
        <v>50</v>
      </c>
      <c r="D471" t="s">
        <v>126</v>
      </c>
      <c r="E471" t="s">
        <v>41</v>
      </c>
      <c r="F471" t="s">
        <v>57</v>
      </c>
      <c r="G471" t="s">
        <v>74</v>
      </c>
      <c r="H471" t="s">
        <v>55</v>
      </c>
      <c r="I471" t="str">
        <f>_xlfn.XLOOKUP(H471,Charge_Reference!A:A,Charge_Reference!B:B)</f>
        <v>Vaccination</v>
      </c>
      <c r="J471" s="8">
        <v>183.8295</v>
      </c>
      <c r="K471" t="s">
        <v>3</v>
      </c>
      <c r="L471" t="str">
        <f t="shared" si="7"/>
        <v>No instructions needed</v>
      </c>
    </row>
    <row r="472" spans="1:12" x14ac:dyDescent="0.3">
      <c r="A472">
        <v>471</v>
      </c>
      <c r="B472">
        <v>136</v>
      </c>
      <c r="C472">
        <v>38</v>
      </c>
      <c r="D472" t="s">
        <v>48</v>
      </c>
      <c r="E472" t="s">
        <v>29</v>
      </c>
      <c r="F472" t="s">
        <v>73</v>
      </c>
      <c r="G472" t="s">
        <v>254</v>
      </c>
      <c r="H472" t="s">
        <v>36</v>
      </c>
      <c r="I472" t="str">
        <f>_xlfn.XLOOKUP(H472,Charge_Reference!A:A,Charge_Reference!B:B)</f>
        <v>Emergency Visit</v>
      </c>
      <c r="J472" s="8">
        <v>272.73950000000002</v>
      </c>
      <c r="K472" t="s">
        <v>7</v>
      </c>
      <c r="L472" t="str">
        <f t="shared" si="7"/>
        <v>No instructions needed</v>
      </c>
    </row>
    <row r="473" spans="1:12" x14ac:dyDescent="0.3">
      <c r="A473">
        <v>472</v>
      </c>
      <c r="B473">
        <v>161</v>
      </c>
      <c r="C473">
        <v>11</v>
      </c>
      <c r="D473" t="s">
        <v>188</v>
      </c>
      <c r="E473" t="s">
        <v>29</v>
      </c>
      <c r="F473" t="s">
        <v>135</v>
      </c>
      <c r="G473" t="s">
        <v>382</v>
      </c>
      <c r="H473" t="s">
        <v>36</v>
      </c>
      <c r="I473" t="str">
        <f>_xlfn.XLOOKUP(H473,Charge_Reference!A:A,Charge_Reference!B:B)</f>
        <v>Emergency Visit</v>
      </c>
      <c r="J473" s="8">
        <v>679.79880000000003</v>
      </c>
      <c r="K473" t="s">
        <v>3</v>
      </c>
      <c r="L473" t="str">
        <f t="shared" si="7"/>
        <v>No instructions needed</v>
      </c>
    </row>
    <row r="474" spans="1:12" x14ac:dyDescent="0.3">
      <c r="A474">
        <v>473</v>
      </c>
      <c r="B474">
        <v>21</v>
      </c>
      <c r="C474">
        <v>20</v>
      </c>
      <c r="D474" t="s">
        <v>113</v>
      </c>
      <c r="E474" t="s">
        <v>41</v>
      </c>
      <c r="F474" t="s">
        <v>38</v>
      </c>
      <c r="G474" t="s">
        <v>228</v>
      </c>
      <c r="H474" t="s">
        <v>47</v>
      </c>
      <c r="I474" t="str">
        <f>_xlfn.XLOOKUP(H474,Charge_Reference!A:A,Charge_Reference!B:B)</f>
        <v>Dental Cleaning</v>
      </c>
      <c r="J474" s="8">
        <v>-90.849299999999999</v>
      </c>
      <c r="K474" t="s">
        <v>5</v>
      </c>
      <c r="L474" t="str">
        <f t="shared" si="7"/>
        <v>No instructions needed</v>
      </c>
    </row>
    <row r="475" spans="1:12" x14ac:dyDescent="0.3">
      <c r="A475">
        <v>474</v>
      </c>
      <c r="B475">
        <v>108</v>
      </c>
      <c r="C475">
        <v>90</v>
      </c>
      <c r="D475" t="s">
        <v>60</v>
      </c>
      <c r="E475" t="s">
        <v>41</v>
      </c>
      <c r="F475" t="s">
        <v>116</v>
      </c>
      <c r="G475" t="s">
        <v>231</v>
      </c>
      <c r="H475" t="s">
        <v>55</v>
      </c>
      <c r="I475" t="str">
        <f>_xlfn.XLOOKUP(H475,Charge_Reference!A:A,Charge_Reference!B:B)</f>
        <v>Vaccination</v>
      </c>
      <c r="J475" s="8">
        <v>739.26850000000002</v>
      </c>
      <c r="K475" t="s">
        <v>3</v>
      </c>
      <c r="L475" t="str">
        <f t="shared" si="7"/>
        <v>No instructions needed</v>
      </c>
    </row>
    <row r="476" spans="1:12" x14ac:dyDescent="0.3">
      <c r="A476">
        <v>475</v>
      </c>
      <c r="B476">
        <v>36</v>
      </c>
      <c r="C476">
        <v>5</v>
      </c>
      <c r="D476" t="s">
        <v>185</v>
      </c>
      <c r="E476" t="s">
        <v>41</v>
      </c>
      <c r="F476" t="s">
        <v>160</v>
      </c>
      <c r="G476" t="s">
        <v>240</v>
      </c>
      <c r="H476" t="s">
        <v>40</v>
      </c>
      <c r="I476" t="str">
        <f>_xlfn.XLOOKUP(H476,Charge_Reference!A:A,Charge_Reference!B:B)</f>
        <v>Annual Bloodwork</v>
      </c>
      <c r="J476" s="8">
        <v>932.18939999999998</v>
      </c>
      <c r="K476" t="s">
        <v>3</v>
      </c>
      <c r="L476" t="str">
        <f t="shared" si="7"/>
        <v>No instructions needed</v>
      </c>
    </row>
    <row r="477" spans="1:12" x14ac:dyDescent="0.3">
      <c r="A477">
        <v>476</v>
      </c>
      <c r="B477">
        <v>104</v>
      </c>
      <c r="C477">
        <v>32</v>
      </c>
      <c r="D477" t="s">
        <v>211</v>
      </c>
      <c r="E477" t="s">
        <v>29</v>
      </c>
      <c r="F477" t="s">
        <v>61</v>
      </c>
      <c r="G477" t="s">
        <v>383</v>
      </c>
      <c r="H477" t="s">
        <v>40</v>
      </c>
      <c r="I477" t="str">
        <f>_xlfn.XLOOKUP(H477,Charge_Reference!A:A,Charge_Reference!B:B)</f>
        <v>Annual Bloodwork</v>
      </c>
      <c r="J477" s="8">
        <v>-197.6069</v>
      </c>
      <c r="K477" t="s">
        <v>5</v>
      </c>
      <c r="L477" t="str">
        <f t="shared" si="7"/>
        <v>No instructions needed</v>
      </c>
    </row>
    <row r="478" spans="1:12" x14ac:dyDescent="0.3">
      <c r="A478">
        <v>477</v>
      </c>
      <c r="B478">
        <v>165</v>
      </c>
      <c r="C478">
        <v>35</v>
      </c>
      <c r="D478" t="s">
        <v>96</v>
      </c>
      <c r="E478" t="s">
        <v>29</v>
      </c>
      <c r="F478" t="s">
        <v>85</v>
      </c>
      <c r="G478" t="s">
        <v>384</v>
      </c>
      <c r="H478" t="s">
        <v>51</v>
      </c>
      <c r="I478" t="str">
        <f>_xlfn.XLOOKUP(H478,Charge_Reference!A:A,Charge_Reference!B:B)</f>
        <v>Radiographs</v>
      </c>
      <c r="J478" s="8">
        <v>867.15509999999995</v>
      </c>
      <c r="K478" t="s">
        <v>5</v>
      </c>
      <c r="L478" t="str">
        <f t="shared" si="7"/>
        <v>No instructions needed</v>
      </c>
    </row>
    <row r="479" spans="1:12" x14ac:dyDescent="0.3">
      <c r="A479">
        <v>478</v>
      </c>
      <c r="B479">
        <v>143</v>
      </c>
      <c r="C479">
        <v>102</v>
      </c>
      <c r="D479" t="s">
        <v>149</v>
      </c>
      <c r="E479" t="s">
        <v>41</v>
      </c>
      <c r="F479" t="s">
        <v>107</v>
      </c>
      <c r="G479" t="s">
        <v>385</v>
      </c>
      <c r="H479" t="s">
        <v>32</v>
      </c>
      <c r="I479" t="str">
        <f>_xlfn.XLOOKUP(H479,Charge_Reference!A:A,Charge_Reference!B:B)</f>
        <v>Surgery</v>
      </c>
      <c r="J479" s="8">
        <v>413.34269999999998</v>
      </c>
      <c r="K479" t="s">
        <v>5</v>
      </c>
      <c r="L479" t="str">
        <f t="shared" si="7"/>
        <v>Needs TGH instructions</v>
      </c>
    </row>
    <row r="480" spans="1:12" x14ac:dyDescent="0.3">
      <c r="A480">
        <v>479</v>
      </c>
      <c r="B480">
        <v>117</v>
      </c>
      <c r="C480">
        <v>123</v>
      </c>
      <c r="D480" t="s">
        <v>91</v>
      </c>
      <c r="E480" t="s">
        <v>41</v>
      </c>
      <c r="F480" t="s">
        <v>116</v>
      </c>
      <c r="G480" t="s">
        <v>386</v>
      </c>
      <c r="H480" t="s">
        <v>40</v>
      </c>
      <c r="I480" t="str">
        <f>_xlfn.XLOOKUP(H480,Charge_Reference!A:A,Charge_Reference!B:B)</f>
        <v>Annual Bloodwork</v>
      </c>
      <c r="J480" s="8">
        <v>-64.125900000000001</v>
      </c>
      <c r="K480" t="s">
        <v>3</v>
      </c>
      <c r="L480" t="str">
        <f t="shared" si="7"/>
        <v>No instructions needed</v>
      </c>
    </row>
    <row r="481" spans="1:12" x14ac:dyDescent="0.3">
      <c r="A481">
        <v>480</v>
      </c>
      <c r="B481">
        <v>154</v>
      </c>
      <c r="C481">
        <v>15</v>
      </c>
      <c r="D481" t="s">
        <v>93</v>
      </c>
      <c r="E481" t="s">
        <v>41</v>
      </c>
      <c r="F481" t="s">
        <v>45</v>
      </c>
      <c r="G481" t="s">
        <v>279</v>
      </c>
      <c r="H481" t="s">
        <v>32</v>
      </c>
      <c r="I481" t="str">
        <f>_xlfn.XLOOKUP(H481,Charge_Reference!A:A,Charge_Reference!B:B)</f>
        <v>Surgery</v>
      </c>
      <c r="J481" s="8">
        <v>637.53819999999996</v>
      </c>
      <c r="K481" t="s">
        <v>7</v>
      </c>
      <c r="L481" t="str">
        <f t="shared" si="7"/>
        <v>Needs TGH instructions</v>
      </c>
    </row>
    <row r="482" spans="1:12" x14ac:dyDescent="0.3">
      <c r="A482">
        <v>481</v>
      </c>
      <c r="B482">
        <v>183</v>
      </c>
      <c r="C482">
        <v>80</v>
      </c>
      <c r="D482" t="s">
        <v>109</v>
      </c>
      <c r="E482" t="s">
        <v>29</v>
      </c>
      <c r="F482" t="s">
        <v>145</v>
      </c>
      <c r="G482" t="s">
        <v>267</v>
      </c>
      <c r="H482" t="s">
        <v>64</v>
      </c>
      <c r="I482" t="str">
        <f>_xlfn.XLOOKUP(H482,Charge_Reference!A:A,Charge_Reference!B:B)</f>
        <v>Nail Trim</v>
      </c>
      <c r="J482" s="8">
        <v>96.795100000000005</v>
      </c>
      <c r="K482" t="s">
        <v>5</v>
      </c>
      <c r="L482" t="str">
        <f t="shared" si="7"/>
        <v>No instructions needed</v>
      </c>
    </row>
    <row r="483" spans="1:12" x14ac:dyDescent="0.3">
      <c r="A483">
        <v>482</v>
      </c>
      <c r="B483">
        <v>88</v>
      </c>
      <c r="C483">
        <v>65</v>
      </c>
      <c r="D483" t="s">
        <v>84</v>
      </c>
      <c r="E483" t="s">
        <v>29</v>
      </c>
      <c r="F483" t="s">
        <v>107</v>
      </c>
      <c r="G483" t="s">
        <v>153</v>
      </c>
      <c r="H483" t="s">
        <v>55</v>
      </c>
      <c r="I483" t="str">
        <f>_xlfn.XLOOKUP(H483,Charge_Reference!A:A,Charge_Reference!B:B)</f>
        <v>Vaccination</v>
      </c>
      <c r="J483" s="8">
        <v>809.76949999999999</v>
      </c>
      <c r="K483" t="s">
        <v>3</v>
      </c>
      <c r="L483" t="str">
        <f t="shared" si="7"/>
        <v>No instructions needed</v>
      </c>
    </row>
    <row r="484" spans="1:12" x14ac:dyDescent="0.3">
      <c r="A484">
        <v>483</v>
      </c>
      <c r="B484">
        <v>62</v>
      </c>
      <c r="C484">
        <v>112</v>
      </c>
      <c r="D484" t="s">
        <v>179</v>
      </c>
      <c r="E484" t="s">
        <v>41</v>
      </c>
      <c r="F484" t="s">
        <v>66</v>
      </c>
      <c r="G484" t="s">
        <v>219</v>
      </c>
      <c r="H484" t="s">
        <v>51</v>
      </c>
      <c r="I484" t="str">
        <f>_xlfn.XLOOKUP(H484,Charge_Reference!A:A,Charge_Reference!B:B)</f>
        <v>Radiographs</v>
      </c>
      <c r="J484" s="8">
        <v>694.23749999999995</v>
      </c>
      <c r="K484" t="s">
        <v>3</v>
      </c>
      <c r="L484" t="str">
        <f t="shared" si="7"/>
        <v>No instructions needed</v>
      </c>
    </row>
    <row r="485" spans="1:12" x14ac:dyDescent="0.3">
      <c r="A485">
        <v>484</v>
      </c>
      <c r="B485">
        <v>190</v>
      </c>
      <c r="C485">
        <v>75</v>
      </c>
      <c r="D485" t="s">
        <v>244</v>
      </c>
      <c r="E485" t="s">
        <v>41</v>
      </c>
      <c r="F485" t="s">
        <v>131</v>
      </c>
      <c r="G485" t="s">
        <v>241</v>
      </c>
      <c r="H485" t="s">
        <v>36</v>
      </c>
      <c r="I485" t="str">
        <f>_xlfn.XLOOKUP(H485,Charge_Reference!A:A,Charge_Reference!B:B)</f>
        <v>Emergency Visit</v>
      </c>
      <c r="J485" s="8">
        <v>564.91980000000001</v>
      </c>
      <c r="K485" t="s">
        <v>5</v>
      </c>
      <c r="L485" t="str">
        <f t="shared" si="7"/>
        <v>No instructions needed</v>
      </c>
    </row>
    <row r="486" spans="1:12" x14ac:dyDescent="0.3">
      <c r="A486">
        <v>485</v>
      </c>
      <c r="B486">
        <v>63</v>
      </c>
      <c r="C486">
        <v>11</v>
      </c>
      <c r="D486" t="s">
        <v>126</v>
      </c>
      <c r="E486" t="s">
        <v>29</v>
      </c>
      <c r="F486" t="s">
        <v>151</v>
      </c>
      <c r="G486" t="s">
        <v>353</v>
      </c>
      <c r="H486" t="s">
        <v>55</v>
      </c>
      <c r="I486" t="str">
        <f>_xlfn.XLOOKUP(H486,Charge_Reference!A:A,Charge_Reference!B:B)</f>
        <v>Vaccination</v>
      </c>
      <c r="J486" s="8">
        <v>-47.7149</v>
      </c>
      <c r="K486" t="s">
        <v>5</v>
      </c>
      <c r="L486" t="str">
        <f t="shared" si="7"/>
        <v>No instructions needed</v>
      </c>
    </row>
    <row r="487" spans="1:12" x14ac:dyDescent="0.3">
      <c r="A487">
        <v>486</v>
      </c>
      <c r="B487">
        <v>119</v>
      </c>
      <c r="C487">
        <v>106</v>
      </c>
      <c r="D487" t="s">
        <v>191</v>
      </c>
      <c r="E487" t="s">
        <v>41</v>
      </c>
      <c r="F487" t="s">
        <v>151</v>
      </c>
      <c r="G487" t="s">
        <v>387</v>
      </c>
      <c r="H487" t="s">
        <v>51</v>
      </c>
      <c r="I487" t="str">
        <f>_xlfn.XLOOKUP(H487,Charge_Reference!A:A,Charge_Reference!B:B)</f>
        <v>Radiographs</v>
      </c>
      <c r="J487" s="8">
        <v>33.0214</v>
      </c>
      <c r="K487" t="s">
        <v>3</v>
      </c>
      <c r="L487" t="str">
        <f t="shared" si="7"/>
        <v>No instructions needed</v>
      </c>
    </row>
    <row r="488" spans="1:12" x14ac:dyDescent="0.3">
      <c r="A488">
        <v>487</v>
      </c>
      <c r="B488">
        <v>191</v>
      </c>
      <c r="C488">
        <v>73</v>
      </c>
      <c r="D488" t="s">
        <v>149</v>
      </c>
      <c r="E488" t="s">
        <v>29</v>
      </c>
      <c r="F488" t="s">
        <v>111</v>
      </c>
      <c r="G488" t="s">
        <v>388</v>
      </c>
      <c r="H488" t="s">
        <v>40</v>
      </c>
      <c r="I488" t="str">
        <f>_xlfn.XLOOKUP(H488,Charge_Reference!A:A,Charge_Reference!B:B)</f>
        <v>Annual Bloodwork</v>
      </c>
      <c r="J488" s="8">
        <v>128.6146</v>
      </c>
      <c r="K488" t="s">
        <v>5</v>
      </c>
      <c r="L488" t="str">
        <f t="shared" si="7"/>
        <v>No instructions needed</v>
      </c>
    </row>
    <row r="489" spans="1:12" x14ac:dyDescent="0.3">
      <c r="A489">
        <v>488</v>
      </c>
      <c r="B489">
        <v>11</v>
      </c>
      <c r="C489">
        <v>133</v>
      </c>
      <c r="D489" t="s">
        <v>70</v>
      </c>
      <c r="E489" t="s">
        <v>29</v>
      </c>
      <c r="F489" t="s">
        <v>160</v>
      </c>
      <c r="G489" t="s">
        <v>357</v>
      </c>
      <c r="H489" t="s">
        <v>51</v>
      </c>
      <c r="I489" t="str">
        <f>_xlfn.XLOOKUP(H489,Charge_Reference!A:A,Charge_Reference!B:B)</f>
        <v>Radiographs</v>
      </c>
      <c r="J489" s="8">
        <v>700.40809999999999</v>
      </c>
      <c r="K489" t="s">
        <v>7</v>
      </c>
      <c r="L489" t="str">
        <f t="shared" si="7"/>
        <v>No instructions needed</v>
      </c>
    </row>
    <row r="490" spans="1:12" x14ac:dyDescent="0.3">
      <c r="A490">
        <v>489</v>
      </c>
      <c r="B490">
        <v>25</v>
      </c>
      <c r="C490">
        <v>80</v>
      </c>
      <c r="D490" t="s">
        <v>81</v>
      </c>
      <c r="E490" t="s">
        <v>29</v>
      </c>
      <c r="F490" t="s">
        <v>38</v>
      </c>
      <c r="G490" t="s">
        <v>367</v>
      </c>
      <c r="H490" t="s">
        <v>51</v>
      </c>
      <c r="I490" t="str">
        <f>_xlfn.XLOOKUP(H490,Charge_Reference!A:A,Charge_Reference!B:B)</f>
        <v>Radiographs</v>
      </c>
      <c r="J490" s="8">
        <v>19.865100000000002</v>
      </c>
      <c r="K490" t="s">
        <v>3</v>
      </c>
      <c r="L490" t="str">
        <f t="shared" si="7"/>
        <v>No instructions needed</v>
      </c>
    </row>
    <row r="491" spans="1:12" x14ac:dyDescent="0.3">
      <c r="A491">
        <v>490</v>
      </c>
      <c r="B491">
        <v>198</v>
      </c>
      <c r="C491">
        <v>122</v>
      </c>
      <c r="D491" t="s">
        <v>139</v>
      </c>
      <c r="E491" t="s">
        <v>29</v>
      </c>
      <c r="F491" t="s">
        <v>151</v>
      </c>
      <c r="G491" t="s">
        <v>221</v>
      </c>
      <c r="H491" t="s">
        <v>55</v>
      </c>
      <c r="I491" t="str">
        <f>_xlfn.XLOOKUP(H491,Charge_Reference!A:A,Charge_Reference!B:B)</f>
        <v>Vaccination</v>
      </c>
      <c r="J491" s="8">
        <v>566.40629999999999</v>
      </c>
      <c r="K491" t="s">
        <v>5</v>
      </c>
      <c r="L491" t="str">
        <f t="shared" si="7"/>
        <v>No instructions needed</v>
      </c>
    </row>
    <row r="492" spans="1:12" x14ac:dyDescent="0.3">
      <c r="A492">
        <v>491</v>
      </c>
      <c r="B492">
        <v>61</v>
      </c>
      <c r="C492">
        <v>13</v>
      </c>
      <c r="D492" t="s">
        <v>115</v>
      </c>
      <c r="E492" t="s">
        <v>41</v>
      </c>
      <c r="F492" t="s">
        <v>135</v>
      </c>
      <c r="G492" t="s">
        <v>382</v>
      </c>
      <c r="H492" t="s">
        <v>55</v>
      </c>
      <c r="I492" t="str">
        <f>_xlfn.XLOOKUP(H492,Charge_Reference!A:A,Charge_Reference!B:B)</f>
        <v>Vaccination</v>
      </c>
      <c r="J492" s="8">
        <v>431.697</v>
      </c>
      <c r="K492" t="s">
        <v>5</v>
      </c>
      <c r="L492" t="str">
        <f t="shared" si="7"/>
        <v>No instructions needed</v>
      </c>
    </row>
    <row r="493" spans="1:12" x14ac:dyDescent="0.3">
      <c r="A493">
        <v>492</v>
      </c>
      <c r="B493">
        <v>151</v>
      </c>
      <c r="C493">
        <v>148</v>
      </c>
      <c r="D493" t="s">
        <v>312</v>
      </c>
      <c r="E493" t="s">
        <v>41</v>
      </c>
      <c r="F493" t="s">
        <v>135</v>
      </c>
      <c r="G493" t="s">
        <v>43</v>
      </c>
      <c r="H493" t="s">
        <v>32</v>
      </c>
      <c r="I493" t="str">
        <f>_xlfn.XLOOKUP(H493,Charge_Reference!A:A,Charge_Reference!B:B)</f>
        <v>Surgery</v>
      </c>
      <c r="J493" s="8">
        <v>7.1289999999999996</v>
      </c>
      <c r="K493" t="s">
        <v>7</v>
      </c>
      <c r="L493" t="str">
        <f t="shared" si="7"/>
        <v>Needs TGH instructions</v>
      </c>
    </row>
    <row r="494" spans="1:12" x14ac:dyDescent="0.3">
      <c r="A494">
        <v>493</v>
      </c>
      <c r="B494">
        <v>118</v>
      </c>
      <c r="C494">
        <v>98</v>
      </c>
      <c r="D494" t="s">
        <v>191</v>
      </c>
      <c r="E494" t="s">
        <v>41</v>
      </c>
      <c r="F494" t="s">
        <v>34</v>
      </c>
      <c r="G494" t="s">
        <v>156</v>
      </c>
      <c r="H494" t="s">
        <v>32</v>
      </c>
      <c r="I494" t="str">
        <f>_xlfn.XLOOKUP(H494,Charge_Reference!A:A,Charge_Reference!B:B)</f>
        <v>Surgery</v>
      </c>
      <c r="J494" s="8">
        <v>330.77780000000001</v>
      </c>
      <c r="K494" t="s">
        <v>5</v>
      </c>
      <c r="L494" t="str">
        <f t="shared" si="7"/>
        <v>Needs TGH instructions</v>
      </c>
    </row>
    <row r="495" spans="1:12" x14ac:dyDescent="0.3">
      <c r="A495">
        <v>494</v>
      </c>
      <c r="B495">
        <v>170</v>
      </c>
      <c r="C495">
        <v>56</v>
      </c>
      <c r="D495" t="s">
        <v>56</v>
      </c>
      <c r="E495" t="s">
        <v>41</v>
      </c>
      <c r="F495" t="s">
        <v>73</v>
      </c>
      <c r="G495" t="s">
        <v>345</v>
      </c>
      <c r="H495" t="s">
        <v>64</v>
      </c>
      <c r="I495" t="str">
        <f>_xlfn.XLOOKUP(H495,Charge_Reference!A:A,Charge_Reference!B:B)</f>
        <v>Nail Trim</v>
      </c>
      <c r="J495" s="8">
        <v>144.93549999999999</v>
      </c>
      <c r="K495" t="s">
        <v>3</v>
      </c>
      <c r="L495" t="str">
        <f t="shared" si="7"/>
        <v>No instructions needed</v>
      </c>
    </row>
    <row r="496" spans="1:12" x14ac:dyDescent="0.3">
      <c r="A496">
        <v>495</v>
      </c>
      <c r="B496">
        <v>96</v>
      </c>
      <c r="C496">
        <v>56</v>
      </c>
      <c r="D496" t="s">
        <v>101</v>
      </c>
      <c r="E496" t="s">
        <v>41</v>
      </c>
      <c r="F496" t="s">
        <v>94</v>
      </c>
      <c r="G496" t="s">
        <v>77</v>
      </c>
      <c r="H496" t="s">
        <v>40</v>
      </c>
      <c r="I496" t="str">
        <f>_xlfn.XLOOKUP(H496,Charge_Reference!A:A,Charge_Reference!B:B)</f>
        <v>Annual Bloodwork</v>
      </c>
      <c r="J496" s="8">
        <v>117.8871</v>
      </c>
      <c r="K496" t="s">
        <v>3</v>
      </c>
      <c r="L496" t="str">
        <f t="shared" si="7"/>
        <v>No instructions needed</v>
      </c>
    </row>
    <row r="497" spans="1:12" x14ac:dyDescent="0.3">
      <c r="A497">
        <v>496</v>
      </c>
      <c r="B497">
        <v>26</v>
      </c>
      <c r="C497">
        <v>124</v>
      </c>
      <c r="D497" t="s">
        <v>52</v>
      </c>
      <c r="E497" t="s">
        <v>41</v>
      </c>
      <c r="F497" t="s">
        <v>160</v>
      </c>
      <c r="G497" t="s">
        <v>358</v>
      </c>
      <c r="H497" t="s">
        <v>32</v>
      </c>
      <c r="I497" t="str">
        <f>_xlfn.XLOOKUP(H497,Charge_Reference!A:A,Charge_Reference!B:B)</f>
        <v>Surgery</v>
      </c>
      <c r="J497" s="8">
        <v>109.3057</v>
      </c>
      <c r="K497" t="s">
        <v>5</v>
      </c>
      <c r="L497" t="str">
        <f t="shared" si="7"/>
        <v>Needs TGH instructions</v>
      </c>
    </row>
    <row r="498" spans="1:12" x14ac:dyDescent="0.3">
      <c r="A498">
        <v>497</v>
      </c>
      <c r="B498">
        <v>185</v>
      </c>
      <c r="C498">
        <v>78</v>
      </c>
      <c r="D498" t="s">
        <v>28</v>
      </c>
      <c r="E498" t="s">
        <v>41</v>
      </c>
      <c r="F498" t="s">
        <v>116</v>
      </c>
      <c r="G498" t="s">
        <v>277</v>
      </c>
      <c r="H498" t="s">
        <v>32</v>
      </c>
      <c r="I498" t="str">
        <f>_xlfn.XLOOKUP(H498,Charge_Reference!A:A,Charge_Reference!B:B)</f>
        <v>Surgery</v>
      </c>
      <c r="J498" s="8">
        <v>890.50909999999999</v>
      </c>
      <c r="K498" t="s">
        <v>5</v>
      </c>
      <c r="L498" t="str">
        <f t="shared" si="7"/>
        <v>Needs TGH instructions</v>
      </c>
    </row>
    <row r="499" spans="1:12" x14ac:dyDescent="0.3">
      <c r="A499">
        <v>498</v>
      </c>
      <c r="B499">
        <v>134</v>
      </c>
      <c r="C499">
        <v>142</v>
      </c>
      <c r="D499" t="s">
        <v>75</v>
      </c>
      <c r="E499" t="s">
        <v>29</v>
      </c>
      <c r="F499" t="s">
        <v>104</v>
      </c>
      <c r="G499" t="s">
        <v>325</v>
      </c>
      <c r="H499" t="s">
        <v>47</v>
      </c>
      <c r="I499" t="str">
        <f>_xlfn.XLOOKUP(H499,Charge_Reference!A:A,Charge_Reference!B:B)</f>
        <v>Dental Cleaning</v>
      </c>
      <c r="J499" s="8">
        <v>-40.945700000000002</v>
      </c>
      <c r="K499" t="s">
        <v>5</v>
      </c>
      <c r="L499" t="str">
        <f t="shared" si="7"/>
        <v>No instructions needed</v>
      </c>
    </row>
    <row r="500" spans="1:12" x14ac:dyDescent="0.3">
      <c r="A500">
        <v>499</v>
      </c>
      <c r="B500">
        <v>145</v>
      </c>
      <c r="C500">
        <v>91</v>
      </c>
      <c r="D500" t="s">
        <v>84</v>
      </c>
      <c r="E500" t="s">
        <v>29</v>
      </c>
      <c r="F500" t="s">
        <v>160</v>
      </c>
      <c r="G500" t="s">
        <v>324</v>
      </c>
      <c r="H500" t="s">
        <v>51</v>
      </c>
      <c r="I500" t="str">
        <f>_xlfn.XLOOKUP(H500,Charge_Reference!A:A,Charge_Reference!B:B)</f>
        <v>Radiographs</v>
      </c>
      <c r="J500" s="8">
        <v>504.67149999999998</v>
      </c>
      <c r="K500" t="s">
        <v>3</v>
      </c>
      <c r="L500" t="str">
        <f t="shared" si="7"/>
        <v>No instructions needed</v>
      </c>
    </row>
    <row r="501" spans="1:12" x14ac:dyDescent="0.3">
      <c r="A501">
        <v>500</v>
      </c>
      <c r="B501">
        <v>168</v>
      </c>
      <c r="C501">
        <v>72</v>
      </c>
      <c r="D501" t="s">
        <v>70</v>
      </c>
      <c r="E501" t="s">
        <v>41</v>
      </c>
      <c r="F501" t="s">
        <v>45</v>
      </c>
      <c r="G501" t="s">
        <v>362</v>
      </c>
      <c r="H501" t="s">
        <v>64</v>
      </c>
      <c r="I501" t="str">
        <f>_xlfn.XLOOKUP(H501,Charge_Reference!A:A,Charge_Reference!B:B)</f>
        <v>Nail Trim</v>
      </c>
      <c r="J501" s="8">
        <v>513.72630000000004</v>
      </c>
      <c r="K501" t="s">
        <v>5</v>
      </c>
      <c r="L501" t="str">
        <f t="shared" si="7"/>
        <v>No instructions needed</v>
      </c>
    </row>
  </sheetData>
  <conditionalFormatting sqref="J2:J501">
    <cfRule type="dataBar" priority="1">
      <dataBar>
        <cfvo type="min"/>
        <cfvo type="max"/>
        <color rgb="FF63C384"/>
      </dataBar>
      <extLst>
        <ext xmlns:x14="http://schemas.microsoft.com/office/spreadsheetml/2009/9/main" uri="{B025F937-C7B1-47D3-B67F-A62EFF666E3E}">
          <x14:id>{1718DEFD-63D2-43DE-84C1-2E3BB5C504B8}</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1718DEFD-63D2-43DE-84C1-2E3BB5C504B8}">
            <x14:dataBar minLength="0" maxLength="100" border="1" negativeBarBorderColorSameAsPositive="0">
              <x14:cfvo type="autoMin"/>
              <x14:cfvo type="autoMax"/>
              <x14:borderColor rgb="FF63C384"/>
              <x14:negativeFillColor rgb="FFFF0000"/>
              <x14:negativeBorderColor rgb="FFFF0000"/>
              <x14:axisColor rgb="FF000000"/>
            </x14:dataBar>
          </x14:cfRule>
          <xm:sqref>J2:J501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I9" sqref="I9"/>
    </sheetView>
  </sheetViews>
  <sheetFormatPr defaultRowHeight="14.4" x14ac:dyDescent="0.3"/>
  <cols>
    <col min="1" max="1" width="7.21875" bestFit="1" customWidth="1"/>
    <col min="2" max="2" width="6.44140625" bestFit="1" customWidth="1"/>
    <col min="3" max="3" width="9.21875" bestFit="1" customWidth="1"/>
    <col min="4" max="4" width="9.5546875" bestFit="1" customWidth="1"/>
    <col min="5" max="5" width="7" bestFit="1" customWidth="1"/>
    <col min="6" max="6" width="17.33203125" bestFit="1" customWidth="1"/>
    <col min="7" max="7" width="10.5546875" bestFit="1" customWidth="1"/>
    <col min="8" max="8" width="13.77734375" bestFit="1" customWidth="1"/>
    <col min="9" max="9" width="11.88671875" bestFit="1" customWidth="1"/>
    <col min="10" max="10" width="14.21875" bestFit="1" customWidth="1"/>
    <col min="11" max="11" width="13.5546875" bestFit="1" customWidth="1"/>
  </cols>
  <sheetData>
    <row r="1" spans="1:11" x14ac:dyDescent="0.3">
      <c r="A1" t="s">
        <v>18</v>
      </c>
      <c r="B1" t="s">
        <v>19</v>
      </c>
      <c r="C1" t="s">
        <v>20</v>
      </c>
      <c r="D1" t="s">
        <v>21</v>
      </c>
      <c r="E1" t="s">
        <v>22</v>
      </c>
      <c r="F1" t="s">
        <v>23</v>
      </c>
      <c r="G1" t="s">
        <v>24</v>
      </c>
      <c r="H1" t="s">
        <v>2</v>
      </c>
      <c r="I1" t="s">
        <v>25</v>
      </c>
      <c r="J1" t="s">
        <v>26</v>
      </c>
      <c r="K1" t="s">
        <v>27</v>
      </c>
    </row>
    <row r="2" spans="1:11" x14ac:dyDescent="0.3">
      <c r="A2">
        <v>1</v>
      </c>
      <c r="B2">
        <v>47</v>
      </c>
      <c r="C2">
        <v>116</v>
      </c>
      <c r="D2" t="s">
        <v>28</v>
      </c>
      <c r="E2" t="s">
        <v>389</v>
      </c>
      <c r="F2" t="s">
        <v>30</v>
      </c>
      <c r="G2" t="s">
        <v>31</v>
      </c>
      <c r="H2" t="s">
        <v>390</v>
      </c>
      <c r="I2" t="s">
        <v>32</v>
      </c>
      <c r="J2">
        <v>939.00519999999995</v>
      </c>
      <c r="K2" t="s">
        <v>7</v>
      </c>
    </row>
    <row r="3" spans="1:11" x14ac:dyDescent="0.3">
      <c r="A3">
        <v>2</v>
      </c>
      <c r="B3">
        <v>25</v>
      </c>
      <c r="C3">
        <v>37</v>
      </c>
      <c r="D3" t="s">
        <v>33</v>
      </c>
      <c r="E3" t="s">
        <v>389</v>
      </c>
      <c r="F3" t="s">
        <v>34</v>
      </c>
      <c r="G3" t="s">
        <v>35</v>
      </c>
      <c r="H3" t="s">
        <v>390</v>
      </c>
      <c r="I3" t="s">
        <v>36</v>
      </c>
      <c r="J3">
        <v>725.98050000000001</v>
      </c>
      <c r="K3" t="s">
        <v>7</v>
      </c>
    </row>
    <row r="4" spans="1:11" x14ac:dyDescent="0.3">
      <c r="A4">
        <v>3</v>
      </c>
      <c r="B4">
        <v>22</v>
      </c>
      <c r="C4">
        <v>35</v>
      </c>
      <c r="D4" t="s">
        <v>37</v>
      </c>
      <c r="E4" t="s">
        <v>29</v>
      </c>
      <c r="F4" t="s">
        <v>38</v>
      </c>
      <c r="G4" t="s">
        <v>39</v>
      </c>
      <c r="H4" t="s">
        <v>390</v>
      </c>
      <c r="I4" t="s">
        <v>40</v>
      </c>
      <c r="J4">
        <v>349.35950000000003</v>
      </c>
      <c r="K4" t="s">
        <v>391</v>
      </c>
    </row>
    <row r="5" spans="1:11" x14ac:dyDescent="0.3">
      <c r="A5">
        <v>4</v>
      </c>
      <c r="B5">
        <v>63</v>
      </c>
      <c r="C5">
        <v>66</v>
      </c>
      <c r="D5" t="s">
        <v>33</v>
      </c>
      <c r="E5" t="s">
        <v>392</v>
      </c>
      <c r="F5" t="s">
        <v>42</v>
      </c>
      <c r="G5" t="s">
        <v>43</v>
      </c>
      <c r="H5" t="s">
        <v>393</v>
      </c>
      <c r="I5" t="s">
        <v>36</v>
      </c>
      <c r="J5">
        <v>78.241799999999998</v>
      </c>
      <c r="K5" t="s">
        <v>5</v>
      </c>
    </row>
    <row r="6" spans="1:11" x14ac:dyDescent="0.3">
      <c r="A6">
        <v>5</v>
      </c>
      <c r="B6">
        <v>18</v>
      </c>
      <c r="C6">
        <v>101</v>
      </c>
      <c r="D6" t="s">
        <v>44</v>
      </c>
      <c r="E6" t="s">
        <v>389</v>
      </c>
      <c r="F6" t="s">
        <v>45</v>
      </c>
      <c r="G6" t="s">
        <v>46</v>
      </c>
      <c r="H6" t="s">
        <v>390</v>
      </c>
      <c r="I6" t="s">
        <v>394</v>
      </c>
      <c r="J6">
        <v>480.2783</v>
      </c>
      <c r="K6" t="s">
        <v>5</v>
      </c>
    </row>
    <row r="7" spans="1:11" x14ac:dyDescent="0.3">
      <c r="A7">
        <v>6</v>
      </c>
      <c r="B7">
        <v>71</v>
      </c>
      <c r="C7">
        <v>131</v>
      </c>
      <c r="D7" t="s">
        <v>48</v>
      </c>
      <c r="E7" t="s">
        <v>392</v>
      </c>
      <c r="F7" t="s">
        <v>49</v>
      </c>
      <c r="G7" t="s">
        <v>50</v>
      </c>
      <c r="H7" t="s">
        <v>13</v>
      </c>
      <c r="I7" t="s">
        <v>51</v>
      </c>
      <c r="J7">
        <v>937.5625</v>
      </c>
      <c r="K7" t="s">
        <v>7</v>
      </c>
    </row>
    <row r="8" spans="1:11" x14ac:dyDescent="0.3">
      <c r="A8">
        <v>7</v>
      </c>
      <c r="B8">
        <v>92</v>
      </c>
      <c r="C8">
        <v>75</v>
      </c>
      <c r="D8" t="s">
        <v>52</v>
      </c>
      <c r="E8" t="s">
        <v>389</v>
      </c>
      <c r="F8" t="s">
        <v>53</v>
      </c>
      <c r="G8" t="s">
        <v>54</v>
      </c>
      <c r="I8" t="s">
        <v>55</v>
      </c>
      <c r="J8">
        <v>650.0059</v>
      </c>
      <c r="K8" t="s">
        <v>391</v>
      </c>
    </row>
    <row r="9" spans="1:11" x14ac:dyDescent="0.3">
      <c r="A9">
        <v>8</v>
      </c>
      <c r="B9">
        <v>12</v>
      </c>
      <c r="C9">
        <v>2</v>
      </c>
      <c r="D9" t="s">
        <v>56</v>
      </c>
      <c r="E9" t="s">
        <v>389</v>
      </c>
      <c r="F9" t="s">
        <v>57</v>
      </c>
      <c r="G9" t="s">
        <v>58</v>
      </c>
      <c r="H9" t="s">
        <v>395</v>
      </c>
      <c r="I9" t="s">
        <v>396</v>
      </c>
      <c r="J9">
        <v>-244.71960000000001</v>
      </c>
      <c r="K9" t="s">
        <v>5</v>
      </c>
    </row>
    <row r="10" spans="1:11" x14ac:dyDescent="0.3">
      <c r="A10">
        <v>9</v>
      </c>
      <c r="B10">
        <v>192</v>
      </c>
      <c r="C10">
        <v>107</v>
      </c>
      <c r="D10" t="s">
        <v>60</v>
      </c>
      <c r="E10" t="s">
        <v>29</v>
      </c>
      <c r="F10" t="s">
        <v>61</v>
      </c>
      <c r="G10" t="s">
        <v>62</v>
      </c>
      <c r="H10" t="s">
        <v>6</v>
      </c>
      <c r="I10" t="s">
        <v>47</v>
      </c>
      <c r="J10">
        <v>249.92140000000001</v>
      </c>
      <c r="K10" t="s">
        <v>7</v>
      </c>
    </row>
    <row r="11" spans="1:11" x14ac:dyDescent="0.3">
      <c r="A11">
        <v>10</v>
      </c>
      <c r="B11">
        <v>92</v>
      </c>
      <c r="C11">
        <v>20</v>
      </c>
      <c r="D11" t="s">
        <v>28</v>
      </c>
      <c r="E11" t="s">
        <v>389</v>
      </c>
      <c r="F11" t="s">
        <v>45</v>
      </c>
      <c r="G11" t="s">
        <v>63</v>
      </c>
      <c r="H11" t="s">
        <v>14</v>
      </c>
      <c r="I11" t="s">
        <v>397</v>
      </c>
      <c r="J11">
        <v>866.72609999999997</v>
      </c>
      <c r="K11" t="s">
        <v>391</v>
      </c>
    </row>
    <row r="12" spans="1:11" x14ac:dyDescent="0.3">
      <c r="A12">
        <v>11</v>
      </c>
      <c r="B12">
        <v>124</v>
      </c>
      <c r="C12">
        <v>72</v>
      </c>
      <c r="D12" t="s">
        <v>65</v>
      </c>
      <c r="E12" t="s">
        <v>29</v>
      </c>
      <c r="F12" t="s">
        <v>66</v>
      </c>
      <c r="G12" t="s">
        <v>67</v>
      </c>
      <c r="I12" t="s">
        <v>396</v>
      </c>
      <c r="J12">
        <v>738.04129999999998</v>
      </c>
      <c r="K12" t="s">
        <v>5</v>
      </c>
    </row>
    <row r="13" spans="1:11" x14ac:dyDescent="0.3">
      <c r="A13">
        <v>12</v>
      </c>
      <c r="B13">
        <v>17</v>
      </c>
      <c r="C13">
        <v>117</v>
      </c>
      <c r="D13" t="s">
        <v>68</v>
      </c>
      <c r="E13" t="s">
        <v>29</v>
      </c>
      <c r="F13" t="s">
        <v>30</v>
      </c>
      <c r="G13" t="s">
        <v>69</v>
      </c>
      <c r="H13" t="s">
        <v>14</v>
      </c>
      <c r="I13" t="s">
        <v>59</v>
      </c>
      <c r="J13">
        <v>66.0608</v>
      </c>
      <c r="K13" t="s">
        <v>3</v>
      </c>
    </row>
    <row r="14" spans="1:11" x14ac:dyDescent="0.3">
      <c r="A14">
        <v>13</v>
      </c>
      <c r="B14">
        <v>73</v>
      </c>
      <c r="C14">
        <v>23</v>
      </c>
      <c r="D14" t="s">
        <v>70</v>
      </c>
      <c r="E14" t="s">
        <v>389</v>
      </c>
      <c r="F14" t="s">
        <v>71</v>
      </c>
      <c r="G14" t="s">
        <v>72</v>
      </c>
      <c r="H14" t="s">
        <v>13</v>
      </c>
      <c r="I14" t="s">
        <v>51</v>
      </c>
      <c r="J14">
        <v>228.29949999999999</v>
      </c>
      <c r="K14" t="s">
        <v>3</v>
      </c>
    </row>
    <row r="15" spans="1:11" x14ac:dyDescent="0.3">
      <c r="A15">
        <v>14</v>
      </c>
      <c r="B15">
        <v>14</v>
      </c>
      <c r="C15">
        <v>2</v>
      </c>
      <c r="D15" t="s">
        <v>37</v>
      </c>
      <c r="E15" t="s">
        <v>389</v>
      </c>
      <c r="F15" t="s">
        <v>73</v>
      </c>
      <c r="G15" t="s">
        <v>74</v>
      </c>
      <c r="H15" t="s">
        <v>390</v>
      </c>
      <c r="I15" t="s">
        <v>55</v>
      </c>
      <c r="J15">
        <v>500.18799999999999</v>
      </c>
      <c r="K15" t="s">
        <v>5</v>
      </c>
    </row>
    <row r="16" spans="1:11" x14ac:dyDescent="0.3">
      <c r="A16">
        <v>15</v>
      </c>
      <c r="B16">
        <v>171</v>
      </c>
      <c r="C16">
        <v>20</v>
      </c>
      <c r="D16" t="s">
        <v>75</v>
      </c>
      <c r="E16" t="s">
        <v>389</v>
      </c>
      <c r="F16" t="s">
        <v>76</v>
      </c>
      <c r="G16" t="s">
        <v>77</v>
      </c>
      <c r="H16" t="s">
        <v>395</v>
      </c>
      <c r="I16" t="s">
        <v>398</v>
      </c>
      <c r="J16">
        <v>-290.9812</v>
      </c>
      <c r="K16" t="s">
        <v>3</v>
      </c>
    </row>
    <row r="17" spans="1:11" x14ac:dyDescent="0.3">
      <c r="A17">
        <v>16</v>
      </c>
      <c r="B17">
        <v>59</v>
      </c>
      <c r="C17">
        <v>80</v>
      </c>
      <c r="D17" t="s">
        <v>78</v>
      </c>
      <c r="E17" t="s">
        <v>389</v>
      </c>
      <c r="F17" t="s">
        <v>53</v>
      </c>
      <c r="G17" t="s">
        <v>79</v>
      </c>
      <c r="H17" t="s">
        <v>14</v>
      </c>
      <c r="I17" t="s">
        <v>51</v>
      </c>
      <c r="J17">
        <v>588.9633</v>
      </c>
      <c r="K17" t="s">
        <v>7</v>
      </c>
    </row>
    <row r="18" spans="1:11" x14ac:dyDescent="0.3">
      <c r="A18">
        <v>17</v>
      </c>
      <c r="B18">
        <v>181</v>
      </c>
      <c r="C18">
        <v>139</v>
      </c>
      <c r="D18" t="s">
        <v>65</v>
      </c>
      <c r="E18" t="s">
        <v>392</v>
      </c>
      <c r="F18" t="s">
        <v>30</v>
      </c>
      <c r="G18" t="s">
        <v>80</v>
      </c>
      <c r="H18" t="s">
        <v>390</v>
      </c>
      <c r="I18" t="s">
        <v>36</v>
      </c>
      <c r="J18">
        <v>364.0403</v>
      </c>
      <c r="K18" t="s">
        <v>391</v>
      </c>
    </row>
    <row r="19" spans="1:11" x14ac:dyDescent="0.3">
      <c r="A19">
        <v>18</v>
      </c>
      <c r="B19">
        <v>157</v>
      </c>
      <c r="C19">
        <v>70</v>
      </c>
      <c r="D19" t="s">
        <v>81</v>
      </c>
      <c r="E19" t="s">
        <v>41</v>
      </c>
      <c r="F19" t="s">
        <v>82</v>
      </c>
      <c r="G19" t="s">
        <v>83</v>
      </c>
      <c r="H19" t="s">
        <v>390</v>
      </c>
      <c r="I19" t="s">
        <v>40</v>
      </c>
      <c r="J19">
        <v>387.50560000000002</v>
      </c>
      <c r="K19" t="s">
        <v>7</v>
      </c>
    </row>
    <row r="20" spans="1:11" x14ac:dyDescent="0.3">
      <c r="A20">
        <v>19</v>
      </c>
      <c r="B20">
        <v>8</v>
      </c>
      <c r="C20">
        <v>95</v>
      </c>
      <c r="D20" t="s">
        <v>84</v>
      </c>
      <c r="E20" t="s">
        <v>41</v>
      </c>
      <c r="F20" t="s">
        <v>85</v>
      </c>
      <c r="G20" t="s">
        <v>86</v>
      </c>
      <c r="I20" t="s">
        <v>36</v>
      </c>
      <c r="J20">
        <v>879.72659999999996</v>
      </c>
      <c r="K20" t="s">
        <v>391</v>
      </c>
    </row>
    <row r="21" spans="1:11" x14ac:dyDescent="0.3">
      <c r="A21">
        <v>20</v>
      </c>
      <c r="B21">
        <v>173</v>
      </c>
      <c r="C21">
        <v>25</v>
      </c>
      <c r="D21" t="s">
        <v>37</v>
      </c>
      <c r="E21" t="s">
        <v>41</v>
      </c>
      <c r="F21" t="s">
        <v>87</v>
      </c>
      <c r="G21" t="s">
        <v>88</v>
      </c>
      <c r="H21" t="s">
        <v>393</v>
      </c>
      <c r="I21" t="s">
        <v>64</v>
      </c>
      <c r="J21">
        <v>246.51490000000001</v>
      </c>
      <c r="K21" t="s">
        <v>391</v>
      </c>
    </row>
    <row r="22" spans="1:11" x14ac:dyDescent="0.3">
      <c r="A22">
        <v>21</v>
      </c>
      <c r="B22">
        <v>200</v>
      </c>
      <c r="C22">
        <v>127</v>
      </c>
      <c r="D22" t="s">
        <v>89</v>
      </c>
      <c r="E22" t="s">
        <v>389</v>
      </c>
      <c r="F22" t="s">
        <v>42</v>
      </c>
      <c r="G22" t="s">
        <v>90</v>
      </c>
      <c r="H22" t="s">
        <v>393</v>
      </c>
      <c r="I22" t="s">
        <v>32</v>
      </c>
      <c r="J22">
        <v>999.62339999999995</v>
      </c>
      <c r="K22" t="s">
        <v>3</v>
      </c>
    </row>
    <row r="23" spans="1:11" x14ac:dyDescent="0.3">
      <c r="A23">
        <v>22</v>
      </c>
      <c r="B23">
        <v>3</v>
      </c>
      <c r="C23">
        <v>33</v>
      </c>
      <c r="D23" t="s">
        <v>91</v>
      </c>
      <c r="E23" t="s">
        <v>392</v>
      </c>
      <c r="F23" t="s">
        <v>53</v>
      </c>
      <c r="G23" t="s">
        <v>92</v>
      </c>
      <c r="H23" t="s">
        <v>393</v>
      </c>
      <c r="I23" t="s">
        <v>394</v>
      </c>
      <c r="J23">
        <v>-206.3467</v>
      </c>
      <c r="K23" t="s">
        <v>7</v>
      </c>
    </row>
    <row r="24" spans="1:11" x14ac:dyDescent="0.3">
      <c r="A24">
        <v>23</v>
      </c>
      <c r="B24">
        <v>59</v>
      </c>
      <c r="C24">
        <v>119</v>
      </c>
      <c r="D24" t="s">
        <v>93</v>
      </c>
      <c r="E24" t="s">
        <v>29</v>
      </c>
      <c r="F24" t="s">
        <v>94</v>
      </c>
      <c r="G24" t="s">
        <v>95</v>
      </c>
      <c r="I24" t="s">
        <v>399</v>
      </c>
      <c r="J24">
        <v>248.83539999999999</v>
      </c>
      <c r="K24" t="s">
        <v>7</v>
      </c>
    </row>
    <row r="25" spans="1:11" x14ac:dyDescent="0.3">
      <c r="A25">
        <v>24</v>
      </c>
      <c r="B25">
        <v>92</v>
      </c>
      <c r="C25">
        <v>138</v>
      </c>
      <c r="D25" t="s">
        <v>96</v>
      </c>
      <c r="E25" t="s">
        <v>392</v>
      </c>
      <c r="F25" t="s">
        <v>97</v>
      </c>
      <c r="G25" t="s">
        <v>98</v>
      </c>
      <c r="H25" t="s">
        <v>393</v>
      </c>
      <c r="I25" t="s">
        <v>400</v>
      </c>
      <c r="J25">
        <v>-288.69110000000001</v>
      </c>
      <c r="K25" t="s">
        <v>7</v>
      </c>
    </row>
    <row r="26" spans="1:11" x14ac:dyDescent="0.3">
      <c r="A26">
        <v>25</v>
      </c>
      <c r="B26">
        <v>35</v>
      </c>
      <c r="C26">
        <v>114</v>
      </c>
      <c r="D26" t="s">
        <v>99</v>
      </c>
      <c r="E26" t="s">
        <v>392</v>
      </c>
      <c r="F26" t="s">
        <v>97</v>
      </c>
      <c r="G26" t="s">
        <v>100</v>
      </c>
      <c r="H26" t="s">
        <v>13</v>
      </c>
      <c r="I26" t="s">
        <v>32</v>
      </c>
      <c r="J26">
        <v>-63.622900000000001</v>
      </c>
      <c r="K26" t="s">
        <v>5</v>
      </c>
    </row>
    <row r="27" spans="1:11" x14ac:dyDescent="0.3">
      <c r="A27">
        <v>26</v>
      </c>
      <c r="B27">
        <v>21</v>
      </c>
      <c r="C27">
        <v>122</v>
      </c>
      <c r="D27" t="s">
        <v>101</v>
      </c>
      <c r="E27" t="s">
        <v>392</v>
      </c>
      <c r="F27" t="s">
        <v>102</v>
      </c>
      <c r="G27" t="s">
        <v>103</v>
      </c>
      <c r="H27" t="s">
        <v>13</v>
      </c>
      <c r="I27" t="s">
        <v>36</v>
      </c>
      <c r="J27">
        <v>733.42840000000001</v>
      </c>
      <c r="K27" t="s">
        <v>5</v>
      </c>
    </row>
    <row r="28" spans="1:11" x14ac:dyDescent="0.3">
      <c r="A28">
        <v>27</v>
      </c>
      <c r="B28">
        <v>84</v>
      </c>
      <c r="C28">
        <v>34</v>
      </c>
      <c r="D28" t="s">
        <v>89</v>
      </c>
      <c r="E28" t="s">
        <v>389</v>
      </c>
      <c r="F28" t="s">
        <v>104</v>
      </c>
      <c r="G28" t="s">
        <v>105</v>
      </c>
      <c r="H28" t="s">
        <v>395</v>
      </c>
      <c r="I28" t="s">
        <v>64</v>
      </c>
      <c r="J28">
        <v>652.8297</v>
      </c>
      <c r="K28" t="s">
        <v>3</v>
      </c>
    </row>
    <row r="29" spans="1:11" x14ac:dyDescent="0.3">
      <c r="A29">
        <v>28</v>
      </c>
      <c r="B29">
        <v>47</v>
      </c>
      <c r="C29">
        <v>57</v>
      </c>
      <c r="D29" t="s">
        <v>70</v>
      </c>
      <c r="E29" t="s">
        <v>389</v>
      </c>
      <c r="F29" t="s">
        <v>45</v>
      </c>
      <c r="G29" t="s">
        <v>106</v>
      </c>
      <c r="H29" t="s">
        <v>393</v>
      </c>
      <c r="I29" t="s">
        <v>40</v>
      </c>
      <c r="J29">
        <v>514.86339999999996</v>
      </c>
      <c r="K29" t="s">
        <v>7</v>
      </c>
    </row>
    <row r="30" spans="1:11" x14ac:dyDescent="0.3">
      <c r="A30">
        <v>29</v>
      </c>
      <c r="B30">
        <v>18</v>
      </c>
      <c r="C30">
        <v>104</v>
      </c>
      <c r="D30" t="s">
        <v>28</v>
      </c>
      <c r="E30" t="s">
        <v>389</v>
      </c>
      <c r="F30" t="s">
        <v>107</v>
      </c>
      <c r="G30" t="s">
        <v>108</v>
      </c>
      <c r="H30" t="s">
        <v>13</v>
      </c>
      <c r="I30" t="s">
        <v>59</v>
      </c>
      <c r="J30">
        <v>6.1393000000000004</v>
      </c>
      <c r="K30" t="s">
        <v>7</v>
      </c>
    </row>
    <row r="31" spans="1:11" x14ac:dyDescent="0.3">
      <c r="A31">
        <v>30</v>
      </c>
      <c r="B31">
        <v>54</v>
      </c>
      <c r="C31">
        <v>79</v>
      </c>
      <c r="D31" t="s">
        <v>109</v>
      </c>
      <c r="E31" t="s">
        <v>29</v>
      </c>
      <c r="F31" t="s">
        <v>49</v>
      </c>
      <c r="G31" t="s">
        <v>110</v>
      </c>
      <c r="H31" t="s">
        <v>6</v>
      </c>
      <c r="I31" t="s">
        <v>59</v>
      </c>
      <c r="J31">
        <v>112.3904</v>
      </c>
      <c r="K31" t="s">
        <v>3</v>
      </c>
    </row>
    <row r="32" spans="1:11" x14ac:dyDescent="0.3">
      <c r="A32">
        <v>31</v>
      </c>
      <c r="B32">
        <v>46</v>
      </c>
      <c r="C32">
        <v>147</v>
      </c>
      <c r="D32" t="s">
        <v>91</v>
      </c>
      <c r="E32" t="s">
        <v>29</v>
      </c>
      <c r="F32" t="s">
        <v>111</v>
      </c>
      <c r="G32" t="s">
        <v>112</v>
      </c>
      <c r="H32" t="s">
        <v>14</v>
      </c>
      <c r="I32" t="s">
        <v>55</v>
      </c>
      <c r="J32">
        <v>777.28390000000002</v>
      </c>
      <c r="K32" t="s">
        <v>5</v>
      </c>
    </row>
    <row r="33" spans="1:11" x14ac:dyDescent="0.3">
      <c r="A33">
        <v>32</v>
      </c>
      <c r="B33">
        <v>137</v>
      </c>
      <c r="C33">
        <v>134</v>
      </c>
      <c r="D33" t="s">
        <v>113</v>
      </c>
      <c r="E33" t="s">
        <v>389</v>
      </c>
      <c r="F33" t="s">
        <v>38</v>
      </c>
      <c r="G33" t="s">
        <v>114</v>
      </c>
      <c r="H33" t="s">
        <v>14</v>
      </c>
      <c r="I33" t="s">
        <v>399</v>
      </c>
      <c r="J33">
        <v>-96.376199999999997</v>
      </c>
      <c r="K33" t="s">
        <v>5</v>
      </c>
    </row>
    <row r="34" spans="1:11" x14ac:dyDescent="0.3">
      <c r="A34">
        <v>33</v>
      </c>
      <c r="B34">
        <v>146</v>
      </c>
      <c r="C34">
        <v>18</v>
      </c>
      <c r="D34" t="s">
        <v>115</v>
      </c>
      <c r="E34" t="s">
        <v>29</v>
      </c>
      <c r="F34" t="s">
        <v>116</v>
      </c>
      <c r="G34" t="s">
        <v>117</v>
      </c>
      <c r="H34" t="s">
        <v>390</v>
      </c>
      <c r="I34" t="s">
        <v>36</v>
      </c>
      <c r="J34">
        <v>-80.761499999999998</v>
      </c>
      <c r="K34" t="s">
        <v>391</v>
      </c>
    </row>
    <row r="35" spans="1:11" x14ac:dyDescent="0.3">
      <c r="A35">
        <v>34</v>
      </c>
      <c r="B35">
        <v>38</v>
      </c>
      <c r="C35">
        <v>115</v>
      </c>
      <c r="D35" t="s">
        <v>65</v>
      </c>
      <c r="E35" t="s">
        <v>29</v>
      </c>
      <c r="F35" t="s">
        <v>118</v>
      </c>
      <c r="G35" t="s">
        <v>119</v>
      </c>
      <c r="H35" t="s">
        <v>393</v>
      </c>
      <c r="I35" t="s">
        <v>401</v>
      </c>
      <c r="J35">
        <v>-113.2574</v>
      </c>
      <c r="K35" t="s">
        <v>5</v>
      </c>
    </row>
    <row r="36" spans="1:11" x14ac:dyDescent="0.3">
      <c r="A36">
        <v>35</v>
      </c>
      <c r="B36">
        <v>111</v>
      </c>
      <c r="C36">
        <v>119</v>
      </c>
      <c r="D36" t="s">
        <v>120</v>
      </c>
      <c r="E36" t="s">
        <v>392</v>
      </c>
      <c r="F36" t="s">
        <v>76</v>
      </c>
      <c r="G36" t="s">
        <v>121</v>
      </c>
      <c r="H36" t="s">
        <v>6</v>
      </c>
      <c r="I36" t="s">
        <v>398</v>
      </c>
      <c r="J36">
        <v>467.91059999999999</v>
      </c>
      <c r="K36" t="s">
        <v>391</v>
      </c>
    </row>
    <row r="37" spans="1:11" x14ac:dyDescent="0.3">
      <c r="A37">
        <v>36</v>
      </c>
      <c r="B37">
        <v>173</v>
      </c>
      <c r="C37">
        <v>136</v>
      </c>
      <c r="D37" t="s">
        <v>78</v>
      </c>
      <c r="E37" t="s">
        <v>41</v>
      </c>
      <c r="F37" t="s">
        <v>107</v>
      </c>
      <c r="G37" t="s">
        <v>122</v>
      </c>
      <c r="H37" t="s">
        <v>13</v>
      </c>
      <c r="I37" t="s">
        <v>398</v>
      </c>
      <c r="J37">
        <v>351.74669999999998</v>
      </c>
      <c r="K37" t="s">
        <v>7</v>
      </c>
    </row>
    <row r="38" spans="1:11" x14ac:dyDescent="0.3">
      <c r="A38">
        <v>37</v>
      </c>
      <c r="B38">
        <v>159</v>
      </c>
      <c r="C38">
        <v>147</v>
      </c>
      <c r="D38" t="s">
        <v>81</v>
      </c>
      <c r="E38" t="s">
        <v>392</v>
      </c>
      <c r="F38" t="s">
        <v>30</v>
      </c>
      <c r="G38" t="s">
        <v>123</v>
      </c>
      <c r="H38" t="s">
        <v>390</v>
      </c>
      <c r="I38" t="s">
        <v>36</v>
      </c>
      <c r="J38">
        <v>-250.7664</v>
      </c>
      <c r="K38" t="s">
        <v>391</v>
      </c>
    </row>
    <row r="39" spans="1:11" x14ac:dyDescent="0.3">
      <c r="A39">
        <v>38</v>
      </c>
      <c r="B39">
        <v>193</v>
      </c>
      <c r="C39">
        <v>58</v>
      </c>
      <c r="D39" t="s">
        <v>81</v>
      </c>
      <c r="E39" t="s">
        <v>389</v>
      </c>
      <c r="F39" t="s">
        <v>73</v>
      </c>
      <c r="G39" t="s">
        <v>124</v>
      </c>
      <c r="I39" t="s">
        <v>36</v>
      </c>
      <c r="J39">
        <v>-29.6434</v>
      </c>
      <c r="K39" t="s">
        <v>3</v>
      </c>
    </row>
    <row r="40" spans="1:11" x14ac:dyDescent="0.3">
      <c r="A40">
        <v>39</v>
      </c>
      <c r="B40">
        <v>142</v>
      </c>
      <c r="C40">
        <v>82</v>
      </c>
      <c r="D40" t="s">
        <v>37</v>
      </c>
      <c r="E40" t="s">
        <v>29</v>
      </c>
      <c r="F40" t="s">
        <v>82</v>
      </c>
      <c r="G40" t="s">
        <v>125</v>
      </c>
      <c r="H40" t="s">
        <v>390</v>
      </c>
      <c r="I40" t="s">
        <v>64</v>
      </c>
      <c r="J40">
        <v>249.845</v>
      </c>
      <c r="K40" t="s">
        <v>7</v>
      </c>
    </row>
    <row r="41" spans="1:11" x14ac:dyDescent="0.3">
      <c r="A41">
        <v>40</v>
      </c>
      <c r="B41">
        <v>50</v>
      </c>
      <c r="C41">
        <v>108</v>
      </c>
      <c r="D41" t="s">
        <v>126</v>
      </c>
      <c r="E41" t="s">
        <v>389</v>
      </c>
      <c r="F41" t="s">
        <v>94</v>
      </c>
      <c r="G41" t="s">
        <v>127</v>
      </c>
      <c r="H41" t="s">
        <v>393</v>
      </c>
      <c r="I41" t="s">
        <v>51</v>
      </c>
      <c r="J41">
        <v>923.01400000000001</v>
      </c>
      <c r="K41" t="s">
        <v>391</v>
      </c>
    </row>
    <row r="42" spans="1:11" x14ac:dyDescent="0.3">
      <c r="A42">
        <v>41</v>
      </c>
      <c r="B42">
        <v>32</v>
      </c>
      <c r="C42">
        <v>142</v>
      </c>
      <c r="D42" t="s">
        <v>128</v>
      </c>
      <c r="E42" t="s">
        <v>389</v>
      </c>
      <c r="F42" t="s">
        <v>34</v>
      </c>
      <c r="G42" t="s">
        <v>129</v>
      </c>
      <c r="I42" t="s">
        <v>396</v>
      </c>
      <c r="J42">
        <v>453.3372</v>
      </c>
      <c r="K42" t="s">
        <v>3</v>
      </c>
    </row>
    <row r="43" spans="1:11" x14ac:dyDescent="0.3">
      <c r="A43">
        <v>42</v>
      </c>
      <c r="B43">
        <v>36</v>
      </c>
      <c r="C43">
        <v>71</v>
      </c>
      <c r="D43" t="s">
        <v>130</v>
      </c>
      <c r="E43" t="s">
        <v>392</v>
      </c>
      <c r="F43" t="s">
        <v>97</v>
      </c>
      <c r="G43" t="s">
        <v>50</v>
      </c>
      <c r="H43" t="s">
        <v>393</v>
      </c>
      <c r="I43" t="s">
        <v>55</v>
      </c>
      <c r="J43">
        <v>338.14049999999997</v>
      </c>
      <c r="K43" t="s">
        <v>7</v>
      </c>
    </row>
    <row r="44" spans="1:11" x14ac:dyDescent="0.3">
      <c r="A44">
        <v>43</v>
      </c>
      <c r="B44">
        <v>7</v>
      </c>
      <c r="C44">
        <v>91</v>
      </c>
      <c r="D44" t="s">
        <v>120</v>
      </c>
      <c r="E44" t="s">
        <v>29</v>
      </c>
      <c r="F44" t="s">
        <v>131</v>
      </c>
      <c r="G44" t="s">
        <v>132</v>
      </c>
      <c r="H44" t="s">
        <v>13</v>
      </c>
      <c r="I44" t="s">
        <v>36</v>
      </c>
      <c r="J44">
        <v>177.42599999999999</v>
      </c>
      <c r="K44" t="s">
        <v>7</v>
      </c>
    </row>
    <row r="45" spans="1:11" x14ac:dyDescent="0.3">
      <c r="A45">
        <v>44</v>
      </c>
      <c r="B45">
        <v>93</v>
      </c>
      <c r="C45">
        <v>21</v>
      </c>
      <c r="D45" t="s">
        <v>78</v>
      </c>
      <c r="E45" t="s">
        <v>392</v>
      </c>
      <c r="F45" t="s">
        <v>97</v>
      </c>
      <c r="G45" t="s">
        <v>133</v>
      </c>
      <c r="H45" t="s">
        <v>393</v>
      </c>
      <c r="I45" t="s">
        <v>47</v>
      </c>
      <c r="J45">
        <v>-244.16659999999999</v>
      </c>
      <c r="K45" t="s">
        <v>3</v>
      </c>
    </row>
    <row r="46" spans="1:11" x14ac:dyDescent="0.3">
      <c r="A46">
        <v>45</v>
      </c>
      <c r="B46">
        <v>20</v>
      </c>
      <c r="C46">
        <v>145</v>
      </c>
      <c r="D46" t="s">
        <v>68</v>
      </c>
      <c r="E46" t="s">
        <v>41</v>
      </c>
      <c r="F46" t="s">
        <v>94</v>
      </c>
      <c r="G46" t="s">
        <v>134</v>
      </c>
      <c r="H46" t="s">
        <v>14</v>
      </c>
      <c r="I46" t="s">
        <v>59</v>
      </c>
      <c r="J46">
        <v>-258.68130000000002</v>
      </c>
      <c r="K46" t="s">
        <v>5</v>
      </c>
    </row>
    <row r="47" spans="1:11" x14ac:dyDescent="0.3">
      <c r="A47">
        <v>46</v>
      </c>
      <c r="B47">
        <v>7</v>
      </c>
      <c r="C47">
        <v>27</v>
      </c>
      <c r="D47" t="s">
        <v>70</v>
      </c>
      <c r="E47" t="s">
        <v>389</v>
      </c>
      <c r="F47" t="s">
        <v>135</v>
      </c>
      <c r="G47" t="s">
        <v>136</v>
      </c>
      <c r="H47" t="s">
        <v>390</v>
      </c>
      <c r="I47" t="s">
        <v>59</v>
      </c>
      <c r="J47">
        <v>-16.712499999999999</v>
      </c>
      <c r="K47" t="s">
        <v>391</v>
      </c>
    </row>
    <row r="48" spans="1:11" x14ac:dyDescent="0.3">
      <c r="A48">
        <v>47</v>
      </c>
      <c r="B48">
        <v>75</v>
      </c>
      <c r="C48">
        <v>86</v>
      </c>
      <c r="D48" t="s">
        <v>70</v>
      </c>
      <c r="E48" t="s">
        <v>41</v>
      </c>
      <c r="F48" t="s">
        <v>66</v>
      </c>
      <c r="G48" t="s">
        <v>137</v>
      </c>
      <c r="H48" t="s">
        <v>395</v>
      </c>
      <c r="I48" t="s">
        <v>55</v>
      </c>
      <c r="J48">
        <v>550.25019999999995</v>
      </c>
      <c r="K48" t="s">
        <v>391</v>
      </c>
    </row>
    <row r="49" spans="1:11" x14ac:dyDescent="0.3">
      <c r="A49">
        <v>48</v>
      </c>
      <c r="B49">
        <v>23</v>
      </c>
      <c r="C49">
        <v>117</v>
      </c>
      <c r="D49" t="s">
        <v>120</v>
      </c>
      <c r="E49" t="s">
        <v>41</v>
      </c>
      <c r="F49" t="s">
        <v>53</v>
      </c>
      <c r="G49" t="s">
        <v>138</v>
      </c>
      <c r="H49" t="s">
        <v>393</v>
      </c>
      <c r="I49" t="s">
        <v>59</v>
      </c>
      <c r="J49">
        <v>-256.26909999999998</v>
      </c>
      <c r="K49" t="s">
        <v>3</v>
      </c>
    </row>
    <row r="50" spans="1:11" x14ac:dyDescent="0.3">
      <c r="A50">
        <v>49</v>
      </c>
      <c r="B50">
        <v>127</v>
      </c>
      <c r="C50">
        <v>61</v>
      </c>
      <c r="D50" t="s">
        <v>139</v>
      </c>
      <c r="E50" t="s">
        <v>392</v>
      </c>
      <c r="F50" t="s">
        <v>131</v>
      </c>
      <c r="G50" t="s">
        <v>140</v>
      </c>
      <c r="H50" t="s">
        <v>13</v>
      </c>
      <c r="I50" t="s">
        <v>64</v>
      </c>
      <c r="J50">
        <v>785.48889999999994</v>
      </c>
      <c r="K50" t="s">
        <v>391</v>
      </c>
    </row>
    <row r="51" spans="1:11" x14ac:dyDescent="0.3">
      <c r="A51">
        <v>50</v>
      </c>
      <c r="B51">
        <v>128</v>
      </c>
      <c r="C51">
        <v>29</v>
      </c>
      <c r="D51" t="s">
        <v>89</v>
      </c>
      <c r="E51" t="s">
        <v>392</v>
      </c>
      <c r="F51" t="s">
        <v>38</v>
      </c>
      <c r="G51" t="s">
        <v>141</v>
      </c>
      <c r="H51" t="s">
        <v>13</v>
      </c>
      <c r="I51" t="s">
        <v>55</v>
      </c>
      <c r="J51">
        <v>-125.916</v>
      </c>
      <c r="K51" t="s">
        <v>3</v>
      </c>
    </row>
    <row r="52" spans="1:11" x14ac:dyDescent="0.3">
      <c r="A52">
        <v>51</v>
      </c>
      <c r="B52">
        <v>143</v>
      </c>
      <c r="C52">
        <v>77</v>
      </c>
      <c r="D52" t="s">
        <v>142</v>
      </c>
      <c r="E52" t="s">
        <v>392</v>
      </c>
      <c r="F52" t="s">
        <v>107</v>
      </c>
      <c r="G52" t="s">
        <v>143</v>
      </c>
      <c r="I52" t="s">
        <v>396</v>
      </c>
      <c r="J52">
        <v>135.88939999999999</v>
      </c>
      <c r="K52" t="s">
        <v>391</v>
      </c>
    </row>
    <row r="53" spans="1:11" x14ac:dyDescent="0.3">
      <c r="A53">
        <v>52</v>
      </c>
      <c r="B53">
        <v>192</v>
      </c>
      <c r="C53">
        <v>49</v>
      </c>
      <c r="D53" t="s">
        <v>120</v>
      </c>
      <c r="E53" t="s">
        <v>41</v>
      </c>
      <c r="F53" t="s">
        <v>61</v>
      </c>
      <c r="G53" t="s">
        <v>144</v>
      </c>
      <c r="H53" t="s">
        <v>6</v>
      </c>
      <c r="I53" t="s">
        <v>64</v>
      </c>
      <c r="J53">
        <v>-219.43379999999999</v>
      </c>
      <c r="K53" t="s">
        <v>5</v>
      </c>
    </row>
    <row r="54" spans="1:11" x14ac:dyDescent="0.3">
      <c r="A54">
        <v>53</v>
      </c>
      <c r="B54">
        <v>75</v>
      </c>
      <c r="C54">
        <v>14</v>
      </c>
      <c r="D54" t="s">
        <v>120</v>
      </c>
      <c r="E54" t="s">
        <v>392</v>
      </c>
      <c r="F54" t="s">
        <v>145</v>
      </c>
      <c r="G54" t="s">
        <v>146</v>
      </c>
      <c r="H54" t="s">
        <v>395</v>
      </c>
      <c r="I54" t="s">
        <v>397</v>
      </c>
      <c r="J54">
        <v>643.41369999999995</v>
      </c>
      <c r="K54" t="s">
        <v>391</v>
      </c>
    </row>
    <row r="55" spans="1:11" x14ac:dyDescent="0.3">
      <c r="A55">
        <v>54</v>
      </c>
      <c r="B55">
        <v>191</v>
      </c>
      <c r="C55">
        <v>33</v>
      </c>
      <c r="D55" t="s">
        <v>28</v>
      </c>
      <c r="E55" t="s">
        <v>392</v>
      </c>
      <c r="F55" t="s">
        <v>131</v>
      </c>
      <c r="G55" t="s">
        <v>133</v>
      </c>
      <c r="H55" t="s">
        <v>395</v>
      </c>
      <c r="I55" t="s">
        <v>36</v>
      </c>
      <c r="J55">
        <v>529.73260000000005</v>
      </c>
      <c r="K55" t="s">
        <v>5</v>
      </c>
    </row>
    <row r="56" spans="1:11" x14ac:dyDescent="0.3">
      <c r="A56">
        <v>55</v>
      </c>
      <c r="B56">
        <v>200</v>
      </c>
      <c r="C56">
        <v>65</v>
      </c>
      <c r="D56" t="s">
        <v>147</v>
      </c>
      <c r="E56" t="s">
        <v>392</v>
      </c>
      <c r="F56" t="s">
        <v>61</v>
      </c>
      <c r="G56" t="s">
        <v>148</v>
      </c>
      <c r="H56" t="s">
        <v>6</v>
      </c>
      <c r="I56" t="s">
        <v>36</v>
      </c>
      <c r="J56">
        <v>-199.5264</v>
      </c>
      <c r="K56" t="s">
        <v>391</v>
      </c>
    </row>
    <row r="57" spans="1:11" x14ac:dyDescent="0.3">
      <c r="A57">
        <v>56</v>
      </c>
      <c r="B57">
        <v>152</v>
      </c>
      <c r="C57">
        <v>42</v>
      </c>
      <c r="D57" t="s">
        <v>149</v>
      </c>
      <c r="E57" t="s">
        <v>41</v>
      </c>
      <c r="F57" t="s">
        <v>97</v>
      </c>
      <c r="G57" t="s">
        <v>150</v>
      </c>
      <c r="H57" t="s">
        <v>13</v>
      </c>
      <c r="I57" t="s">
        <v>55</v>
      </c>
      <c r="J57">
        <v>-256.82279999999997</v>
      </c>
      <c r="K57" t="s">
        <v>391</v>
      </c>
    </row>
    <row r="58" spans="1:11" x14ac:dyDescent="0.3">
      <c r="A58">
        <v>57</v>
      </c>
      <c r="B58">
        <v>41</v>
      </c>
      <c r="C58">
        <v>53</v>
      </c>
      <c r="D58" t="s">
        <v>96</v>
      </c>
      <c r="E58" t="s">
        <v>389</v>
      </c>
      <c r="F58" t="s">
        <v>151</v>
      </c>
      <c r="G58" t="s">
        <v>152</v>
      </c>
      <c r="H58" t="s">
        <v>6</v>
      </c>
      <c r="I58" t="s">
        <v>36</v>
      </c>
      <c r="J58">
        <v>742.71910000000003</v>
      </c>
      <c r="K58" t="s">
        <v>7</v>
      </c>
    </row>
    <row r="59" spans="1:11" x14ac:dyDescent="0.3">
      <c r="A59">
        <v>58</v>
      </c>
      <c r="B59">
        <v>118</v>
      </c>
      <c r="C59">
        <v>79</v>
      </c>
      <c r="D59" t="s">
        <v>81</v>
      </c>
      <c r="E59" t="s">
        <v>29</v>
      </c>
      <c r="F59" t="s">
        <v>102</v>
      </c>
      <c r="G59" t="s">
        <v>153</v>
      </c>
      <c r="H59" t="s">
        <v>393</v>
      </c>
      <c r="I59" t="s">
        <v>32</v>
      </c>
      <c r="J59">
        <v>-25.616199999999999</v>
      </c>
      <c r="K59" t="s">
        <v>5</v>
      </c>
    </row>
    <row r="60" spans="1:11" x14ac:dyDescent="0.3">
      <c r="A60">
        <v>59</v>
      </c>
      <c r="B60">
        <v>99</v>
      </c>
      <c r="C60">
        <v>134</v>
      </c>
      <c r="D60" t="s">
        <v>154</v>
      </c>
      <c r="E60" t="s">
        <v>29</v>
      </c>
      <c r="F60" t="s">
        <v>30</v>
      </c>
      <c r="G60" t="s">
        <v>155</v>
      </c>
      <c r="H60" t="s">
        <v>393</v>
      </c>
      <c r="I60" t="s">
        <v>400</v>
      </c>
      <c r="J60">
        <v>785.63409999999999</v>
      </c>
      <c r="K60" t="s">
        <v>7</v>
      </c>
    </row>
    <row r="61" spans="1:11" x14ac:dyDescent="0.3">
      <c r="A61">
        <v>60</v>
      </c>
      <c r="B61">
        <v>38</v>
      </c>
      <c r="C61">
        <v>10</v>
      </c>
      <c r="D61" t="s">
        <v>37</v>
      </c>
      <c r="E61" t="s">
        <v>392</v>
      </c>
      <c r="F61" t="s">
        <v>45</v>
      </c>
      <c r="G61" t="s">
        <v>156</v>
      </c>
      <c r="H61" t="s">
        <v>393</v>
      </c>
      <c r="I61" t="s">
        <v>64</v>
      </c>
      <c r="J61">
        <v>773.23950000000002</v>
      </c>
      <c r="K61" t="s">
        <v>391</v>
      </c>
    </row>
    <row r="62" spans="1:11" x14ac:dyDescent="0.3">
      <c r="A62">
        <v>61</v>
      </c>
      <c r="B62">
        <v>38</v>
      </c>
      <c r="C62">
        <v>34</v>
      </c>
      <c r="D62" t="s">
        <v>78</v>
      </c>
      <c r="E62" t="s">
        <v>41</v>
      </c>
      <c r="F62" t="s">
        <v>34</v>
      </c>
      <c r="G62" t="s">
        <v>157</v>
      </c>
      <c r="H62" t="s">
        <v>395</v>
      </c>
      <c r="I62" t="s">
        <v>55</v>
      </c>
      <c r="J62">
        <v>-20.602699999999999</v>
      </c>
      <c r="K62" t="s">
        <v>3</v>
      </c>
    </row>
    <row r="63" spans="1:11" x14ac:dyDescent="0.3">
      <c r="A63">
        <v>62</v>
      </c>
      <c r="B63">
        <v>83</v>
      </c>
      <c r="C63">
        <v>132</v>
      </c>
      <c r="D63" t="s">
        <v>158</v>
      </c>
      <c r="E63" t="s">
        <v>29</v>
      </c>
      <c r="F63" t="s">
        <v>94</v>
      </c>
      <c r="G63" t="s">
        <v>159</v>
      </c>
      <c r="I63" t="s">
        <v>36</v>
      </c>
      <c r="J63">
        <v>446.61790000000002</v>
      </c>
      <c r="K63" t="s">
        <v>391</v>
      </c>
    </row>
    <row r="64" spans="1:11" x14ac:dyDescent="0.3">
      <c r="A64">
        <v>63</v>
      </c>
      <c r="B64">
        <v>89</v>
      </c>
      <c r="C64">
        <v>107</v>
      </c>
      <c r="D64" t="s">
        <v>115</v>
      </c>
      <c r="E64" t="s">
        <v>392</v>
      </c>
      <c r="F64" t="s">
        <v>107</v>
      </c>
      <c r="G64" t="s">
        <v>105</v>
      </c>
      <c r="H64" t="s">
        <v>390</v>
      </c>
      <c r="I64" t="s">
        <v>47</v>
      </c>
      <c r="J64">
        <v>915.48050000000001</v>
      </c>
      <c r="K64" t="s">
        <v>7</v>
      </c>
    </row>
    <row r="65" spans="1:11" x14ac:dyDescent="0.3">
      <c r="A65">
        <v>64</v>
      </c>
      <c r="B65">
        <v>151</v>
      </c>
      <c r="C65">
        <v>98</v>
      </c>
      <c r="D65" t="s">
        <v>33</v>
      </c>
      <c r="E65" t="s">
        <v>29</v>
      </c>
      <c r="F65" t="s">
        <v>160</v>
      </c>
      <c r="G65" t="s">
        <v>161</v>
      </c>
      <c r="H65" t="s">
        <v>13</v>
      </c>
      <c r="I65" t="s">
        <v>51</v>
      </c>
      <c r="J65">
        <v>-287.96890000000002</v>
      </c>
      <c r="K65" t="s">
        <v>7</v>
      </c>
    </row>
    <row r="66" spans="1:11" x14ac:dyDescent="0.3">
      <c r="A66">
        <v>65</v>
      </c>
      <c r="B66">
        <v>164</v>
      </c>
      <c r="C66">
        <v>77</v>
      </c>
      <c r="D66" t="s">
        <v>162</v>
      </c>
      <c r="E66" t="s">
        <v>41</v>
      </c>
      <c r="F66" t="s">
        <v>97</v>
      </c>
      <c r="G66" t="s">
        <v>163</v>
      </c>
      <c r="H66" t="s">
        <v>390</v>
      </c>
      <c r="I66" t="s">
        <v>40</v>
      </c>
      <c r="J66">
        <v>353.38470000000001</v>
      </c>
      <c r="K66" t="s">
        <v>3</v>
      </c>
    </row>
    <row r="67" spans="1:11" x14ac:dyDescent="0.3">
      <c r="A67">
        <v>66</v>
      </c>
      <c r="B67">
        <v>124</v>
      </c>
      <c r="C67">
        <v>100</v>
      </c>
      <c r="D67" t="s">
        <v>139</v>
      </c>
      <c r="E67" t="s">
        <v>392</v>
      </c>
      <c r="F67" t="s">
        <v>94</v>
      </c>
      <c r="G67" t="s">
        <v>164</v>
      </c>
      <c r="H67" t="s">
        <v>13</v>
      </c>
      <c r="I67" t="s">
        <v>64</v>
      </c>
      <c r="J67">
        <v>45.528799999999997</v>
      </c>
      <c r="K67" t="s">
        <v>391</v>
      </c>
    </row>
    <row r="68" spans="1:11" x14ac:dyDescent="0.3">
      <c r="A68">
        <v>67</v>
      </c>
      <c r="B68">
        <v>186</v>
      </c>
      <c r="C68">
        <v>63</v>
      </c>
      <c r="D68" t="s">
        <v>33</v>
      </c>
      <c r="E68" t="s">
        <v>41</v>
      </c>
      <c r="F68" t="s">
        <v>71</v>
      </c>
      <c r="G68" t="s">
        <v>165</v>
      </c>
      <c r="H68" t="s">
        <v>395</v>
      </c>
      <c r="I68" t="s">
        <v>32</v>
      </c>
      <c r="J68">
        <v>573.40300000000002</v>
      </c>
      <c r="K68" t="s">
        <v>5</v>
      </c>
    </row>
    <row r="69" spans="1:11" x14ac:dyDescent="0.3">
      <c r="A69">
        <v>68</v>
      </c>
      <c r="B69">
        <v>115</v>
      </c>
      <c r="C69">
        <v>126</v>
      </c>
      <c r="D69" t="s">
        <v>158</v>
      </c>
      <c r="E69" t="s">
        <v>29</v>
      </c>
      <c r="F69" t="s">
        <v>151</v>
      </c>
      <c r="G69" t="s">
        <v>166</v>
      </c>
      <c r="H69" t="s">
        <v>395</v>
      </c>
      <c r="I69" t="s">
        <v>47</v>
      </c>
      <c r="J69">
        <v>-237.63839999999999</v>
      </c>
      <c r="K69" t="s">
        <v>3</v>
      </c>
    </row>
    <row r="70" spans="1:11" x14ac:dyDescent="0.3">
      <c r="A70">
        <v>69</v>
      </c>
      <c r="B70">
        <v>152</v>
      </c>
      <c r="C70">
        <v>68</v>
      </c>
      <c r="D70" t="s">
        <v>139</v>
      </c>
      <c r="E70" t="s">
        <v>392</v>
      </c>
      <c r="F70" t="s">
        <v>94</v>
      </c>
      <c r="G70" t="s">
        <v>167</v>
      </c>
      <c r="I70" t="s">
        <v>55</v>
      </c>
      <c r="J70">
        <v>-217.32579999999999</v>
      </c>
      <c r="K70" t="s">
        <v>7</v>
      </c>
    </row>
    <row r="71" spans="1:11" x14ac:dyDescent="0.3">
      <c r="A71">
        <v>70</v>
      </c>
      <c r="B71">
        <v>109</v>
      </c>
      <c r="C71">
        <v>40</v>
      </c>
      <c r="D71" t="s">
        <v>91</v>
      </c>
      <c r="E71" t="s">
        <v>41</v>
      </c>
      <c r="F71" t="s">
        <v>73</v>
      </c>
      <c r="G71" t="s">
        <v>168</v>
      </c>
      <c r="H71" t="s">
        <v>393</v>
      </c>
      <c r="I71" t="s">
        <v>59</v>
      </c>
      <c r="J71">
        <v>165.2636</v>
      </c>
      <c r="K71" t="s">
        <v>5</v>
      </c>
    </row>
    <row r="72" spans="1:11" x14ac:dyDescent="0.3">
      <c r="A72">
        <v>71</v>
      </c>
      <c r="B72">
        <v>80</v>
      </c>
      <c r="C72">
        <v>28</v>
      </c>
      <c r="D72" t="s">
        <v>126</v>
      </c>
      <c r="E72" t="s">
        <v>41</v>
      </c>
      <c r="F72" t="s">
        <v>131</v>
      </c>
      <c r="G72" t="s">
        <v>169</v>
      </c>
      <c r="H72" t="s">
        <v>393</v>
      </c>
      <c r="I72" t="s">
        <v>51</v>
      </c>
      <c r="J72">
        <v>-160.13210000000001</v>
      </c>
      <c r="K72" t="s">
        <v>391</v>
      </c>
    </row>
    <row r="73" spans="1:11" x14ac:dyDescent="0.3">
      <c r="A73">
        <v>72</v>
      </c>
      <c r="B73">
        <v>65</v>
      </c>
      <c r="C73">
        <v>5</v>
      </c>
      <c r="D73" t="s">
        <v>109</v>
      </c>
      <c r="E73" t="s">
        <v>392</v>
      </c>
      <c r="F73" t="s">
        <v>42</v>
      </c>
      <c r="G73" t="s">
        <v>170</v>
      </c>
      <c r="I73" t="s">
        <v>399</v>
      </c>
      <c r="J73">
        <v>-17.937899999999999</v>
      </c>
      <c r="K73" t="s">
        <v>7</v>
      </c>
    </row>
    <row r="74" spans="1:11" x14ac:dyDescent="0.3">
      <c r="A74">
        <v>73</v>
      </c>
      <c r="B74">
        <v>42</v>
      </c>
      <c r="C74">
        <v>68</v>
      </c>
      <c r="D74" t="s">
        <v>120</v>
      </c>
      <c r="E74" t="s">
        <v>392</v>
      </c>
      <c r="F74" t="s">
        <v>61</v>
      </c>
      <c r="G74" t="s">
        <v>54</v>
      </c>
      <c r="H74" t="s">
        <v>13</v>
      </c>
      <c r="I74" t="s">
        <v>47</v>
      </c>
      <c r="J74">
        <v>317.16789999999997</v>
      </c>
      <c r="K74" t="s">
        <v>3</v>
      </c>
    </row>
    <row r="75" spans="1:11" x14ac:dyDescent="0.3">
      <c r="A75">
        <v>74</v>
      </c>
      <c r="B75">
        <v>172</v>
      </c>
      <c r="C75">
        <v>39</v>
      </c>
      <c r="D75" t="s">
        <v>48</v>
      </c>
      <c r="E75" t="s">
        <v>392</v>
      </c>
      <c r="F75" t="s">
        <v>171</v>
      </c>
      <c r="G75" t="s">
        <v>172</v>
      </c>
      <c r="H75" t="s">
        <v>390</v>
      </c>
      <c r="I75" t="s">
        <v>40</v>
      </c>
      <c r="J75">
        <v>521.37620000000004</v>
      </c>
      <c r="K75" t="s">
        <v>3</v>
      </c>
    </row>
    <row r="76" spans="1:11" x14ac:dyDescent="0.3">
      <c r="A76">
        <v>75</v>
      </c>
      <c r="B76">
        <v>189</v>
      </c>
      <c r="C76">
        <v>35</v>
      </c>
      <c r="D76" t="s">
        <v>84</v>
      </c>
      <c r="E76" t="s">
        <v>41</v>
      </c>
      <c r="F76" t="s">
        <v>34</v>
      </c>
      <c r="G76" t="s">
        <v>173</v>
      </c>
      <c r="H76" t="s">
        <v>13</v>
      </c>
      <c r="I76" t="s">
        <v>32</v>
      </c>
      <c r="J76">
        <v>-208.702</v>
      </c>
      <c r="K76" t="s">
        <v>3</v>
      </c>
    </row>
    <row r="77" spans="1:11" x14ac:dyDescent="0.3">
      <c r="A77">
        <v>76</v>
      </c>
      <c r="B77">
        <v>37</v>
      </c>
      <c r="C77">
        <v>114</v>
      </c>
      <c r="D77" t="s">
        <v>93</v>
      </c>
      <c r="E77" t="s">
        <v>41</v>
      </c>
      <c r="F77" t="s">
        <v>57</v>
      </c>
      <c r="G77" t="s">
        <v>174</v>
      </c>
      <c r="H77" t="s">
        <v>6</v>
      </c>
      <c r="I77" t="s">
        <v>32</v>
      </c>
      <c r="J77">
        <v>506.1814</v>
      </c>
      <c r="K77" t="s">
        <v>7</v>
      </c>
    </row>
    <row r="78" spans="1:11" x14ac:dyDescent="0.3">
      <c r="A78">
        <v>77</v>
      </c>
      <c r="B78">
        <v>167</v>
      </c>
      <c r="C78">
        <v>2</v>
      </c>
      <c r="D78" t="s">
        <v>130</v>
      </c>
      <c r="E78" t="s">
        <v>392</v>
      </c>
      <c r="F78" t="s">
        <v>71</v>
      </c>
      <c r="G78" t="s">
        <v>175</v>
      </c>
      <c r="H78" t="s">
        <v>395</v>
      </c>
      <c r="I78" t="s">
        <v>397</v>
      </c>
      <c r="J78">
        <v>686.68769999999995</v>
      </c>
      <c r="K78" t="s">
        <v>3</v>
      </c>
    </row>
    <row r="79" spans="1:11" x14ac:dyDescent="0.3">
      <c r="A79">
        <v>78</v>
      </c>
      <c r="B79">
        <v>142</v>
      </c>
      <c r="C79">
        <v>62</v>
      </c>
      <c r="D79" t="s">
        <v>176</v>
      </c>
      <c r="E79" t="s">
        <v>41</v>
      </c>
      <c r="F79" t="s">
        <v>97</v>
      </c>
      <c r="G79" t="s">
        <v>177</v>
      </c>
      <c r="H79" t="s">
        <v>390</v>
      </c>
      <c r="I79" t="s">
        <v>51</v>
      </c>
      <c r="J79">
        <v>270.72250000000003</v>
      </c>
      <c r="K79" t="s">
        <v>391</v>
      </c>
    </row>
    <row r="80" spans="1:11" x14ac:dyDescent="0.3">
      <c r="A80">
        <v>79</v>
      </c>
      <c r="B80">
        <v>122</v>
      </c>
      <c r="C80">
        <v>73</v>
      </c>
      <c r="D80" t="s">
        <v>158</v>
      </c>
      <c r="E80" t="s">
        <v>392</v>
      </c>
      <c r="F80" t="s">
        <v>73</v>
      </c>
      <c r="G80" t="s">
        <v>178</v>
      </c>
      <c r="H80" t="s">
        <v>14</v>
      </c>
      <c r="I80" t="s">
        <v>401</v>
      </c>
      <c r="J80">
        <v>419.98489999999998</v>
      </c>
      <c r="K80" t="s">
        <v>5</v>
      </c>
    </row>
    <row r="81" spans="1:11" x14ac:dyDescent="0.3">
      <c r="A81">
        <v>80</v>
      </c>
      <c r="B81">
        <v>115</v>
      </c>
      <c r="C81">
        <v>16</v>
      </c>
      <c r="D81" t="s">
        <v>179</v>
      </c>
      <c r="E81" t="s">
        <v>41</v>
      </c>
      <c r="F81" t="s">
        <v>118</v>
      </c>
      <c r="G81" t="s">
        <v>180</v>
      </c>
      <c r="H81" t="s">
        <v>390</v>
      </c>
      <c r="I81" t="s">
        <v>64</v>
      </c>
      <c r="J81">
        <v>-34.894399999999997</v>
      </c>
      <c r="K81" t="s">
        <v>3</v>
      </c>
    </row>
    <row r="82" spans="1:11" x14ac:dyDescent="0.3">
      <c r="A82">
        <v>81</v>
      </c>
      <c r="B82">
        <v>153</v>
      </c>
      <c r="C82">
        <v>78</v>
      </c>
      <c r="D82" t="s">
        <v>101</v>
      </c>
      <c r="E82" t="s">
        <v>392</v>
      </c>
      <c r="F82" t="s">
        <v>94</v>
      </c>
      <c r="G82" t="s">
        <v>172</v>
      </c>
      <c r="H82" t="s">
        <v>390</v>
      </c>
      <c r="I82" t="s">
        <v>396</v>
      </c>
      <c r="J82">
        <v>55.672800000000002</v>
      </c>
      <c r="K82" t="s">
        <v>7</v>
      </c>
    </row>
    <row r="83" spans="1:11" x14ac:dyDescent="0.3">
      <c r="A83">
        <v>82</v>
      </c>
      <c r="B83">
        <v>142</v>
      </c>
      <c r="C83">
        <v>147</v>
      </c>
      <c r="D83" t="s">
        <v>28</v>
      </c>
      <c r="E83" t="s">
        <v>41</v>
      </c>
      <c r="F83" t="s">
        <v>82</v>
      </c>
      <c r="G83" t="s">
        <v>181</v>
      </c>
      <c r="I83" t="s">
        <v>51</v>
      </c>
      <c r="J83">
        <v>567.61080000000004</v>
      </c>
      <c r="K83" t="s">
        <v>5</v>
      </c>
    </row>
    <row r="84" spans="1:11" x14ac:dyDescent="0.3">
      <c r="A84">
        <v>83</v>
      </c>
      <c r="B84">
        <v>15</v>
      </c>
      <c r="C84">
        <v>44</v>
      </c>
      <c r="D84" t="s">
        <v>154</v>
      </c>
      <c r="E84" t="s">
        <v>29</v>
      </c>
      <c r="F84" t="s">
        <v>45</v>
      </c>
      <c r="G84" t="s">
        <v>182</v>
      </c>
      <c r="H84" t="s">
        <v>393</v>
      </c>
      <c r="I84" t="s">
        <v>55</v>
      </c>
      <c r="J84">
        <v>728.22280000000001</v>
      </c>
      <c r="K84" t="s">
        <v>3</v>
      </c>
    </row>
    <row r="85" spans="1:11" x14ac:dyDescent="0.3">
      <c r="A85">
        <v>84</v>
      </c>
      <c r="B85">
        <v>117</v>
      </c>
      <c r="C85">
        <v>137</v>
      </c>
      <c r="D85" t="s">
        <v>183</v>
      </c>
      <c r="E85" t="s">
        <v>389</v>
      </c>
      <c r="F85" t="s">
        <v>171</v>
      </c>
      <c r="G85" t="s">
        <v>184</v>
      </c>
      <c r="H85" t="s">
        <v>390</v>
      </c>
      <c r="I85" t="s">
        <v>399</v>
      </c>
      <c r="J85">
        <v>220.16040000000001</v>
      </c>
      <c r="K85" t="s">
        <v>7</v>
      </c>
    </row>
    <row r="86" spans="1:11" x14ac:dyDescent="0.3">
      <c r="A86">
        <v>85</v>
      </c>
      <c r="B86">
        <v>52</v>
      </c>
      <c r="C86">
        <v>71</v>
      </c>
      <c r="D86" t="s">
        <v>185</v>
      </c>
      <c r="E86" t="s">
        <v>392</v>
      </c>
      <c r="F86" t="s">
        <v>30</v>
      </c>
      <c r="G86" t="s">
        <v>186</v>
      </c>
      <c r="H86" t="s">
        <v>393</v>
      </c>
      <c r="I86" t="s">
        <v>51</v>
      </c>
      <c r="J86">
        <v>403.38010000000003</v>
      </c>
      <c r="K86" t="s">
        <v>3</v>
      </c>
    </row>
    <row r="87" spans="1:11" x14ac:dyDescent="0.3">
      <c r="A87">
        <v>86</v>
      </c>
      <c r="B87">
        <v>185</v>
      </c>
      <c r="C87">
        <v>66</v>
      </c>
      <c r="D87" t="s">
        <v>37</v>
      </c>
      <c r="E87" t="s">
        <v>29</v>
      </c>
      <c r="F87" t="s">
        <v>97</v>
      </c>
      <c r="G87" t="s">
        <v>165</v>
      </c>
      <c r="I87" t="s">
        <v>51</v>
      </c>
      <c r="J87">
        <v>94.097099999999998</v>
      </c>
      <c r="K87" t="s">
        <v>391</v>
      </c>
    </row>
    <row r="88" spans="1:11" x14ac:dyDescent="0.3">
      <c r="A88">
        <v>87</v>
      </c>
      <c r="B88">
        <v>13</v>
      </c>
      <c r="C88">
        <v>39</v>
      </c>
      <c r="D88" t="s">
        <v>126</v>
      </c>
      <c r="E88" t="s">
        <v>389</v>
      </c>
      <c r="F88" t="s">
        <v>118</v>
      </c>
      <c r="G88" t="s">
        <v>187</v>
      </c>
      <c r="H88" t="s">
        <v>395</v>
      </c>
      <c r="I88" t="s">
        <v>40</v>
      </c>
      <c r="J88">
        <v>742.71019999999999</v>
      </c>
      <c r="K88" t="s">
        <v>5</v>
      </c>
    </row>
    <row r="89" spans="1:11" x14ac:dyDescent="0.3">
      <c r="A89">
        <v>88</v>
      </c>
      <c r="B89">
        <v>150</v>
      </c>
      <c r="C89">
        <v>98</v>
      </c>
      <c r="D89" t="s">
        <v>44</v>
      </c>
      <c r="E89" t="s">
        <v>389</v>
      </c>
      <c r="F89" t="s">
        <v>97</v>
      </c>
      <c r="G89" t="s">
        <v>141</v>
      </c>
      <c r="I89" t="s">
        <v>40</v>
      </c>
      <c r="J89">
        <v>31.267600000000002</v>
      </c>
      <c r="K89" t="s">
        <v>7</v>
      </c>
    </row>
    <row r="90" spans="1:11" x14ac:dyDescent="0.3">
      <c r="A90">
        <v>89</v>
      </c>
      <c r="B90">
        <v>96</v>
      </c>
      <c r="C90">
        <v>67</v>
      </c>
      <c r="D90" t="s">
        <v>68</v>
      </c>
      <c r="E90" t="s">
        <v>389</v>
      </c>
      <c r="F90" t="s">
        <v>49</v>
      </c>
      <c r="G90" t="s">
        <v>124</v>
      </c>
      <c r="H90" t="s">
        <v>13</v>
      </c>
      <c r="I90" t="s">
        <v>32</v>
      </c>
      <c r="J90">
        <v>-170.65270000000001</v>
      </c>
      <c r="K90" t="s">
        <v>391</v>
      </c>
    </row>
    <row r="91" spans="1:11" x14ac:dyDescent="0.3">
      <c r="A91">
        <v>90</v>
      </c>
      <c r="B91">
        <v>65</v>
      </c>
      <c r="C91">
        <v>57</v>
      </c>
      <c r="D91" t="s">
        <v>188</v>
      </c>
      <c r="E91" t="s">
        <v>389</v>
      </c>
      <c r="F91" t="s">
        <v>49</v>
      </c>
      <c r="G91" t="s">
        <v>189</v>
      </c>
      <c r="I91" t="s">
        <v>32</v>
      </c>
      <c r="J91">
        <v>867.29380000000003</v>
      </c>
      <c r="K91" t="s">
        <v>391</v>
      </c>
    </row>
    <row r="92" spans="1:11" x14ac:dyDescent="0.3">
      <c r="A92">
        <v>91</v>
      </c>
      <c r="B92">
        <v>142</v>
      </c>
      <c r="C92">
        <v>70</v>
      </c>
      <c r="D92" t="s">
        <v>128</v>
      </c>
      <c r="E92" t="s">
        <v>41</v>
      </c>
      <c r="F92" t="s">
        <v>73</v>
      </c>
      <c r="G92" t="s">
        <v>190</v>
      </c>
      <c r="H92" t="s">
        <v>14</v>
      </c>
      <c r="I92" t="s">
        <v>51</v>
      </c>
      <c r="J92">
        <v>756.24950000000001</v>
      </c>
      <c r="K92" t="s">
        <v>7</v>
      </c>
    </row>
    <row r="93" spans="1:11" x14ac:dyDescent="0.3">
      <c r="A93">
        <v>92</v>
      </c>
      <c r="B93">
        <v>62</v>
      </c>
      <c r="C93">
        <v>76</v>
      </c>
      <c r="D93" t="s">
        <v>191</v>
      </c>
      <c r="E93" t="s">
        <v>389</v>
      </c>
      <c r="F93" t="s">
        <v>53</v>
      </c>
      <c r="G93" t="s">
        <v>192</v>
      </c>
      <c r="H93" t="s">
        <v>395</v>
      </c>
      <c r="I93" t="s">
        <v>59</v>
      </c>
      <c r="J93">
        <v>686.51580000000001</v>
      </c>
      <c r="K93" t="s">
        <v>7</v>
      </c>
    </row>
    <row r="94" spans="1:11" x14ac:dyDescent="0.3">
      <c r="A94">
        <v>93</v>
      </c>
      <c r="B94">
        <v>144</v>
      </c>
      <c r="C94">
        <v>73</v>
      </c>
      <c r="D94" t="s">
        <v>68</v>
      </c>
      <c r="E94" t="s">
        <v>29</v>
      </c>
      <c r="F94" t="s">
        <v>34</v>
      </c>
      <c r="G94" t="s">
        <v>193</v>
      </c>
      <c r="I94" t="s">
        <v>51</v>
      </c>
      <c r="J94">
        <v>667.69730000000004</v>
      </c>
      <c r="K94" t="s">
        <v>7</v>
      </c>
    </row>
    <row r="95" spans="1:11" x14ac:dyDescent="0.3">
      <c r="A95">
        <v>94</v>
      </c>
      <c r="B95">
        <v>150</v>
      </c>
      <c r="C95">
        <v>104</v>
      </c>
      <c r="D95" t="s">
        <v>78</v>
      </c>
      <c r="E95" t="s">
        <v>41</v>
      </c>
      <c r="F95" t="s">
        <v>151</v>
      </c>
      <c r="G95" t="s">
        <v>129</v>
      </c>
      <c r="I95" t="s">
        <v>399</v>
      </c>
      <c r="J95">
        <v>19.926500000000001</v>
      </c>
      <c r="K95" t="s">
        <v>391</v>
      </c>
    </row>
    <row r="96" spans="1:11" x14ac:dyDescent="0.3">
      <c r="A96">
        <v>95</v>
      </c>
      <c r="B96">
        <v>62</v>
      </c>
      <c r="C96">
        <v>37</v>
      </c>
      <c r="D96" t="s">
        <v>194</v>
      </c>
      <c r="E96" t="s">
        <v>29</v>
      </c>
      <c r="F96" t="s">
        <v>38</v>
      </c>
      <c r="G96" t="s">
        <v>195</v>
      </c>
      <c r="H96" t="s">
        <v>14</v>
      </c>
      <c r="I96" t="s">
        <v>40</v>
      </c>
      <c r="J96">
        <v>-56.112699999999997</v>
      </c>
      <c r="K96" t="s">
        <v>7</v>
      </c>
    </row>
    <row r="97" spans="1:11" x14ac:dyDescent="0.3">
      <c r="A97">
        <v>96</v>
      </c>
      <c r="B97">
        <v>14</v>
      </c>
      <c r="C97">
        <v>76</v>
      </c>
      <c r="D97" t="s">
        <v>56</v>
      </c>
      <c r="E97" t="s">
        <v>41</v>
      </c>
      <c r="F97" t="s">
        <v>66</v>
      </c>
      <c r="G97" t="s">
        <v>133</v>
      </c>
      <c r="H97" t="s">
        <v>393</v>
      </c>
      <c r="I97" t="s">
        <v>40</v>
      </c>
      <c r="J97">
        <v>299.9418</v>
      </c>
      <c r="K97" t="s">
        <v>7</v>
      </c>
    </row>
    <row r="98" spans="1:11" x14ac:dyDescent="0.3">
      <c r="A98">
        <v>97</v>
      </c>
      <c r="B98">
        <v>200</v>
      </c>
      <c r="C98">
        <v>47</v>
      </c>
      <c r="D98" t="s">
        <v>99</v>
      </c>
      <c r="E98" t="s">
        <v>392</v>
      </c>
      <c r="F98" t="s">
        <v>135</v>
      </c>
      <c r="G98" t="s">
        <v>144</v>
      </c>
      <c r="I98" t="s">
        <v>47</v>
      </c>
      <c r="J98">
        <v>908.0095</v>
      </c>
      <c r="K98" t="s">
        <v>391</v>
      </c>
    </row>
    <row r="99" spans="1:11" x14ac:dyDescent="0.3">
      <c r="A99">
        <v>98</v>
      </c>
      <c r="B99">
        <v>24</v>
      </c>
      <c r="C99">
        <v>125</v>
      </c>
      <c r="D99" t="s">
        <v>91</v>
      </c>
      <c r="E99" t="s">
        <v>389</v>
      </c>
      <c r="F99" t="s">
        <v>66</v>
      </c>
      <c r="G99" t="s">
        <v>196</v>
      </c>
      <c r="H99" t="s">
        <v>14</v>
      </c>
      <c r="I99" t="s">
        <v>55</v>
      </c>
      <c r="J99">
        <v>108.58969999999999</v>
      </c>
      <c r="K99" t="s">
        <v>5</v>
      </c>
    </row>
    <row r="100" spans="1:11" x14ac:dyDescent="0.3">
      <c r="A100">
        <v>99</v>
      </c>
      <c r="B100">
        <v>82</v>
      </c>
      <c r="C100">
        <v>77</v>
      </c>
      <c r="D100" t="s">
        <v>197</v>
      </c>
      <c r="E100" t="s">
        <v>41</v>
      </c>
      <c r="F100" t="s">
        <v>82</v>
      </c>
      <c r="G100" t="s">
        <v>198</v>
      </c>
      <c r="H100" t="s">
        <v>395</v>
      </c>
      <c r="I100" t="s">
        <v>47</v>
      </c>
      <c r="J100">
        <v>806.5077</v>
      </c>
      <c r="K100" t="s">
        <v>5</v>
      </c>
    </row>
    <row r="101" spans="1:11" x14ac:dyDescent="0.3">
      <c r="A101">
        <v>100</v>
      </c>
      <c r="B101">
        <v>52</v>
      </c>
      <c r="C101">
        <v>98</v>
      </c>
      <c r="D101" t="s">
        <v>139</v>
      </c>
      <c r="E101" t="s">
        <v>392</v>
      </c>
      <c r="F101" t="s">
        <v>85</v>
      </c>
      <c r="G101" t="s">
        <v>199</v>
      </c>
      <c r="H101" t="s">
        <v>390</v>
      </c>
      <c r="I101" t="s">
        <v>402</v>
      </c>
      <c r="J101">
        <v>-161.25380000000001</v>
      </c>
      <c r="K101" t="s">
        <v>391</v>
      </c>
    </row>
    <row r="102" spans="1:11" x14ac:dyDescent="0.3">
      <c r="A102">
        <v>101</v>
      </c>
      <c r="B102">
        <v>125</v>
      </c>
      <c r="C102">
        <v>77</v>
      </c>
      <c r="D102" t="s">
        <v>52</v>
      </c>
      <c r="E102" t="s">
        <v>389</v>
      </c>
      <c r="F102" t="s">
        <v>71</v>
      </c>
      <c r="G102" t="s">
        <v>200</v>
      </c>
      <c r="H102" t="s">
        <v>14</v>
      </c>
      <c r="I102" t="s">
        <v>55</v>
      </c>
      <c r="J102">
        <v>112.2957</v>
      </c>
      <c r="K102" t="s">
        <v>3</v>
      </c>
    </row>
    <row r="103" spans="1:11" x14ac:dyDescent="0.3">
      <c r="A103">
        <v>102</v>
      </c>
      <c r="B103">
        <v>69</v>
      </c>
      <c r="C103">
        <v>75</v>
      </c>
      <c r="D103" t="s">
        <v>115</v>
      </c>
      <c r="E103" t="s">
        <v>41</v>
      </c>
      <c r="F103" t="s">
        <v>38</v>
      </c>
      <c r="G103" t="s">
        <v>201</v>
      </c>
      <c r="H103" t="s">
        <v>6</v>
      </c>
      <c r="I103" t="s">
        <v>397</v>
      </c>
      <c r="J103">
        <v>857.33460000000002</v>
      </c>
      <c r="K103" t="s">
        <v>3</v>
      </c>
    </row>
    <row r="104" spans="1:11" x14ac:dyDescent="0.3">
      <c r="A104">
        <v>103</v>
      </c>
      <c r="B104">
        <v>110</v>
      </c>
      <c r="C104">
        <v>37</v>
      </c>
      <c r="D104" t="s">
        <v>109</v>
      </c>
      <c r="E104" t="s">
        <v>29</v>
      </c>
      <c r="F104" t="s">
        <v>76</v>
      </c>
      <c r="G104" t="s">
        <v>202</v>
      </c>
      <c r="I104" t="s">
        <v>36</v>
      </c>
      <c r="J104">
        <v>295.71350000000001</v>
      </c>
      <c r="K104" t="s">
        <v>3</v>
      </c>
    </row>
    <row r="105" spans="1:11" x14ac:dyDescent="0.3">
      <c r="A105">
        <v>104</v>
      </c>
      <c r="B105">
        <v>1</v>
      </c>
      <c r="C105">
        <v>1</v>
      </c>
      <c r="D105" t="s">
        <v>75</v>
      </c>
      <c r="E105" t="s">
        <v>389</v>
      </c>
      <c r="F105" t="s">
        <v>87</v>
      </c>
      <c r="G105" t="s">
        <v>203</v>
      </c>
      <c r="H105" t="s">
        <v>393</v>
      </c>
      <c r="I105" t="s">
        <v>32</v>
      </c>
      <c r="J105">
        <v>-288.42680000000001</v>
      </c>
      <c r="K105" t="s">
        <v>391</v>
      </c>
    </row>
    <row r="106" spans="1:11" x14ac:dyDescent="0.3">
      <c r="A106">
        <v>105</v>
      </c>
      <c r="B106">
        <v>156</v>
      </c>
      <c r="C106">
        <v>112</v>
      </c>
      <c r="D106" t="s">
        <v>154</v>
      </c>
      <c r="E106" t="s">
        <v>29</v>
      </c>
      <c r="F106" t="s">
        <v>85</v>
      </c>
      <c r="G106" t="s">
        <v>155</v>
      </c>
      <c r="H106" t="s">
        <v>390</v>
      </c>
      <c r="I106" t="s">
        <v>397</v>
      </c>
      <c r="J106">
        <v>425.30349999999999</v>
      </c>
      <c r="K106" t="s">
        <v>7</v>
      </c>
    </row>
    <row r="107" spans="1:11" x14ac:dyDescent="0.3">
      <c r="A107">
        <v>106</v>
      </c>
      <c r="B107">
        <v>144</v>
      </c>
      <c r="C107">
        <v>131</v>
      </c>
      <c r="D107" t="s">
        <v>130</v>
      </c>
      <c r="E107" t="s">
        <v>29</v>
      </c>
      <c r="F107" t="s">
        <v>171</v>
      </c>
      <c r="G107" t="s">
        <v>204</v>
      </c>
      <c r="H107" t="s">
        <v>14</v>
      </c>
      <c r="I107" t="s">
        <v>55</v>
      </c>
      <c r="J107">
        <v>-179.93209999999999</v>
      </c>
      <c r="K107" t="s">
        <v>7</v>
      </c>
    </row>
    <row r="108" spans="1:11" x14ac:dyDescent="0.3">
      <c r="A108">
        <v>107</v>
      </c>
      <c r="B108">
        <v>46</v>
      </c>
      <c r="C108">
        <v>106</v>
      </c>
      <c r="D108" t="s">
        <v>89</v>
      </c>
      <c r="E108" t="s">
        <v>389</v>
      </c>
      <c r="F108" t="s">
        <v>97</v>
      </c>
      <c r="G108" t="s">
        <v>205</v>
      </c>
      <c r="I108" t="s">
        <v>400</v>
      </c>
      <c r="J108">
        <v>984.02539999999999</v>
      </c>
      <c r="K108" t="s">
        <v>3</v>
      </c>
    </row>
    <row r="109" spans="1:11" x14ac:dyDescent="0.3">
      <c r="A109">
        <v>108</v>
      </c>
      <c r="B109">
        <v>32</v>
      </c>
      <c r="C109">
        <v>6</v>
      </c>
      <c r="D109" t="s">
        <v>188</v>
      </c>
      <c r="E109" t="s">
        <v>389</v>
      </c>
      <c r="F109" t="s">
        <v>49</v>
      </c>
      <c r="G109" t="s">
        <v>165</v>
      </c>
      <c r="H109" t="s">
        <v>14</v>
      </c>
      <c r="I109" t="s">
        <v>32</v>
      </c>
      <c r="J109">
        <v>516.75130000000001</v>
      </c>
      <c r="K109" t="s">
        <v>7</v>
      </c>
    </row>
    <row r="110" spans="1:11" x14ac:dyDescent="0.3">
      <c r="A110">
        <v>109</v>
      </c>
      <c r="B110">
        <v>80</v>
      </c>
      <c r="C110">
        <v>116</v>
      </c>
      <c r="D110" t="s">
        <v>183</v>
      </c>
      <c r="E110" t="s">
        <v>392</v>
      </c>
      <c r="F110" t="s">
        <v>45</v>
      </c>
      <c r="G110" t="s">
        <v>206</v>
      </c>
      <c r="H110" t="s">
        <v>14</v>
      </c>
      <c r="I110" t="s">
        <v>64</v>
      </c>
      <c r="J110">
        <v>242.7064</v>
      </c>
      <c r="K110" t="s">
        <v>3</v>
      </c>
    </row>
    <row r="111" spans="1:11" x14ac:dyDescent="0.3">
      <c r="A111">
        <v>110</v>
      </c>
      <c r="B111">
        <v>141</v>
      </c>
      <c r="C111">
        <v>108</v>
      </c>
      <c r="D111" t="s">
        <v>197</v>
      </c>
      <c r="E111" t="s">
        <v>41</v>
      </c>
      <c r="F111" t="s">
        <v>30</v>
      </c>
      <c r="G111" t="s">
        <v>207</v>
      </c>
      <c r="H111" t="s">
        <v>13</v>
      </c>
      <c r="I111" t="s">
        <v>64</v>
      </c>
      <c r="J111">
        <v>438.31729999999999</v>
      </c>
      <c r="K111" t="s">
        <v>5</v>
      </c>
    </row>
    <row r="112" spans="1:11" x14ac:dyDescent="0.3">
      <c r="A112">
        <v>111</v>
      </c>
      <c r="B112">
        <v>97</v>
      </c>
      <c r="C112">
        <v>72</v>
      </c>
      <c r="D112" t="s">
        <v>176</v>
      </c>
      <c r="E112" t="s">
        <v>392</v>
      </c>
      <c r="F112" t="s">
        <v>34</v>
      </c>
      <c r="G112" t="s">
        <v>208</v>
      </c>
      <c r="H112" t="s">
        <v>395</v>
      </c>
      <c r="I112" t="s">
        <v>55</v>
      </c>
      <c r="J112">
        <v>119.9024</v>
      </c>
      <c r="K112" t="s">
        <v>3</v>
      </c>
    </row>
    <row r="113" spans="1:11" x14ac:dyDescent="0.3">
      <c r="A113">
        <v>112</v>
      </c>
      <c r="B113">
        <v>110</v>
      </c>
      <c r="C113">
        <v>21</v>
      </c>
      <c r="D113" t="s">
        <v>139</v>
      </c>
      <c r="E113" t="s">
        <v>41</v>
      </c>
      <c r="F113" t="s">
        <v>57</v>
      </c>
      <c r="G113" t="s">
        <v>209</v>
      </c>
      <c r="I113" t="s">
        <v>40</v>
      </c>
      <c r="J113">
        <v>398.31779999999998</v>
      </c>
      <c r="K113" t="s">
        <v>7</v>
      </c>
    </row>
    <row r="114" spans="1:11" x14ac:dyDescent="0.3">
      <c r="A114">
        <v>113</v>
      </c>
      <c r="B114">
        <v>25</v>
      </c>
      <c r="C114">
        <v>73</v>
      </c>
      <c r="D114" t="s">
        <v>154</v>
      </c>
      <c r="E114" t="s">
        <v>389</v>
      </c>
      <c r="F114" t="s">
        <v>66</v>
      </c>
      <c r="G114" t="s">
        <v>210</v>
      </c>
      <c r="H114" t="s">
        <v>393</v>
      </c>
      <c r="I114" t="s">
        <v>47</v>
      </c>
      <c r="J114">
        <v>837.64729999999997</v>
      </c>
      <c r="K114" t="s">
        <v>7</v>
      </c>
    </row>
    <row r="115" spans="1:11" x14ac:dyDescent="0.3">
      <c r="A115">
        <v>114</v>
      </c>
      <c r="B115">
        <v>72</v>
      </c>
      <c r="C115">
        <v>63</v>
      </c>
      <c r="D115" t="s">
        <v>211</v>
      </c>
      <c r="E115" t="s">
        <v>389</v>
      </c>
      <c r="F115" t="s">
        <v>131</v>
      </c>
      <c r="G115" t="s">
        <v>212</v>
      </c>
      <c r="H115" t="s">
        <v>14</v>
      </c>
      <c r="I115" t="s">
        <v>36</v>
      </c>
      <c r="J115">
        <v>422.6103</v>
      </c>
      <c r="K115" t="s">
        <v>391</v>
      </c>
    </row>
    <row r="116" spans="1:11" x14ac:dyDescent="0.3">
      <c r="A116">
        <v>115</v>
      </c>
      <c r="B116">
        <v>55</v>
      </c>
      <c r="C116">
        <v>21</v>
      </c>
      <c r="D116" t="s">
        <v>48</v>
      </c>
      <c r="E116" t="s">
        <v>392</v>
      </c>
      <c r="F116" t="s">
        <v>57</v>
      </c>
      <c r="G116" t="s">
        <v>213</v>
      </c>
      <c r="I116" t="s">
        <v>55</v>
      </c>
      <c r="J116">
        <v>717.8039</v>
      </c>
      <c r="K116" t="s">
        <v>391</v>
      </c>
    </row>
    <row r="117" spans="1:11" x14ac:dyDescent="0.3">
      <c r="A117">
        <v>116</v>
      </c>
      <c r="B117">
        <v>85</v>
      </c>
      <c r="C117">
        <v>131</v>
      </c>
      <c r="D117" t="s">
        <v>214</v>
      </c>
      <c r="E117" t="s">
        <v>29</v>
      </c>
      <c r="F117" t="s">
        <v>116</v>
      </c>
      <c r="G117" t="s">
        <v>215</v>
      </c>
      <c r="H117" t="s">
        <v>13</v>
      </c>
      <c r="I117" t="s">
        <v>399</v>
      </c>
      <c r="J117">
        <v>804.76369999999997</v>
      </c>
      <c r="K117" t="s">
        <v>5</v>
      </c>
    </row>
    <row r="118" spans="1:11" x14ac:dyDescent="0.3">
      <c r="A118">
        <v>117</v>
      </c>
      <c r="B118">
        <v>102</v>
      </c>
      <c r="C118">
        <v>101</v>
      </c>
      <c r="D118" t="s">
        <v>37</v>
      </c>
      <c r="E118" t="s">
        <v>392</v>
      </c>
      <c r="F118" t="s">
        <v>97</v>
      </c>
      <c r="G118" t="s">
        <v>216</v>
      </c>
      <c r="H118" t="s">
        <v>395</v>
      </c>
      <c r="I118" t="s">
        <v>396</v>
      </c>
      <c r="J118">
        <v>831.80560000000003</v>
      </c>
      <c r="K118" t="s">
        <v>3</v>
      </c>
    </row>
    <row r="119" spans="1:11" x14ac:dyDescent="0.3">
      <c r="A119">
        <v>118</v>
      </c>
      <c r="B119">
        <v>104</v>
      </c>
      <c r="C119">
        <v>101</v>
      </c>
      <c r="D119" t="s">
        <v>142</v>
      </c>
      <c r="E119" t="s">
        <v>41</v>
      </c>
      <c r="F119" t="s">
        <v>76</v>
      </c>
      <c r="G119" t="s">
        <v>74</v>
      </c>
      <c r="H119" t="s">
        <v>14</v>
      </c>
      <c r="I119" t="s">
        <v>64</v>
      </c>
      <c r="J119">
        <v>456.93849999999998</v>
      </c>
      <c r="K119" t="s">
        <v>5</v>
      </c>
    </row>
    <row r="120" spans="1:11" x14ac:dyDescent="0.3">
      <c r="A120">
        <v>119</v>
      </c>
      <c r="B120">
        <v>3</v>
      </c>
      <c r="C120">
        <v>112</v>
      </c>
      <c r="D120" t="s">
        <v>217</v>
      </c>
      <c r="E120" t="s">
        <v>41</v>
      </c>
      <c r="F120" t="s">
        <v>131</v>
      </c>
      <c r="G120" t="s">
        <v>218</v>
      </c>
      <c r="H120" t="s">
        <v>395</v>
      </c>
      <c r="I120" t="s">
        <v>59</v>
      </c>
      <c r="J120">
        <v>-145.4691</v>
      </c>
      <c r="K120" t="s">
        <v>3</v>
      </c>
    </row>
    <row r="121" spans="1:11" x14ac:dyDescent="0.3">
      <c r="A121">
        <v>120</v>
      </c>
      <c r="B121">
        <v>136</v>
      </c>
      <c r="C121">
        <v>11</v>
      </c>
      <c r="D121" t="s">
        <v>149</v>
      </c>
      <c r="E121" t="s">
        <v>389</v>
      </c>
      <c r="F121" t="s">
        <v>87</v>
      </c>
      <c r="G121" t="s">
        <v>219</v>
      </c>
      <c r="H121" t="s">
        <v>390</v>
      </c>
      <c r="I121" t="s">
        <v>64</v>
      </c>
      <c r="J121">
        <v>996.18060000000003</v>
      </c>
      <c r="K121" t="s">
        <v>5</v>
      </c>
    </row>
    <row r="122" spans="1:11" x14ac:dyDescent="0.3">
      <c r="A122">
        <v>121</v>
      </c>
      <c r="B122">
        <v>63</v>
      </c>
      <c r="C122">
        <v>145</v>
      </c>
      <c r="D122" t="s">
        <v>220</v>
      </c>
      <c r="E122" t="s">
        <v>389</v>
      </c>
      <c r="F122" t="s">
        <v>38</v>
      </c>
      <c r="G122" t="s">
        <v>221</v>
      </c>
      <c r="H122" t="s">
        <v>13</v>
      </c>
      <c r="I122" t="s">
        <v>400</v>
      </c>
      <c r="J122">
        <v>591.20360000000005</v>
      </c>
      <c r="K122" t="s">
        <v>5</v>
      </c>
    </row>
    <row r="123" spans="1:11" x14ac:dyDescent="0.3">
      <c r="A123">
        <v>122</v>
      </c>
      <c r="B123">
        <v>119</v>
      </c>
      <c r="C123">
        <v>45</v>
      </c>
      <c r="D123" t="s">
        <v>128</v>
      </c>
      <c r="E123" t="s">
        <v>41</v>
      </c>
      <c r="F123" t="s">
        <v>30</v>
      </c>
      <c r="G123" t="s">
        <v>173</v>
      </c>
      <c r="H123" t="s">
        <v>6</v>
      </c>
      <c r="I123" t="s">
        <v>40</v>
      </c>
      <c r="J123">
        <v>-269.2534</v>
      </c>
      <c r="K123" t="s">
        <v>3</v>
      </c>
    </row>
    <row r="124" spans="1:11" x14ac:dyDescent="0.3">
      <c r="A124">
        <v>123</v>
      </c>
      <c r="B124">
        <v>21</v>
      </c>
      <c r="C124">
        <v>94</v>
      </c>
      <c r="D124" t="s">
        <v>81</v>
      </c>
      <c r="E124" t="s">
        <v>392</v>
      </c>
      <c r="F124" t="s">
        <v>102</v>
      </c>
      <c r="G124" t="s">
        <v>153</v>
      </c>
      <c r="I124" t="s">
        <v>51</v>
      </c>
      <c r="J124">
        <v>344.29219999999998</v>
      </c>
      <c r="K124" t="s">
        <v>3</v>
      </c>
    </row>
    <row r="125" spans="1:11" x14ac:dyDescent="0.3">
      <c r="A125">
        <v>124</v>
      </c>
      <c r="B125">
        <v>114</v>
      </c>
      <c r="C125">
        <v>119</v>
      </c>
      <c r="D125" t="s">
        <v>179</v>
      </c>
      <c r="E125" t="s">
        <v>389</v>
      </c>
      <c r="F125" t="s">
        <v>102</v>
      </c>
      <c r="G125" t="s">
        <v>222</v>
      </c>
      <c r="I125" t="s">
        <v>401</v>
      </c>
      <c r="J125">
        <v>307.71289999999999</v>
      </c>
      <c r="K125" t="s">
        <v>5</v>
      </c>
    </row>
    <row r="126" spans="1:11" x14ac:dyDescent="0.3">
      <c r="A126">
        <v>125</v>
      </c>
      <c r="B126">
        <v>47</v>
      </c>
      <c r="C126">
        <v>125</v>
      </c>
      <c r="D126" t="s">
        <v>101</v>
      </c>
      <c r="E126" t="s">
        <v>392</v>
      </c>
      <c r="F126" t="s">
        <v>107</v>
      </c>
      <c r="G126" t="s">
        <v>223</v>
      </c>
      <c r="H126" t="s">
        <v>14</v>
      </c>
      <c r="I126" t="s">
        <v>36</v>
      </c>
      <c r="J126">
        <v>-25.637499999999999</v>
      </c>
      <c r="K126" t="s">
        <v>3</v>
      </c>
    </row>
    <row r="127" spans="1:11" x14ac:dyDescent="0.3">
      <c r="A127">
        <v>126</v>
      </c>
      <c r="B127">
        <v>67</v>
      </c>
      <c r="C127">
        <v>146</v>
      </c>
      <c r="D127" t="s">
        <v>70</v>
      </c>
      <c r="E127" t="s">
        <v>392</v>
      </c>
      <c r="F127" t="s">
        <v>171</v>
      </c>
      <c r="G127" t="s">
        <v>224</v>
      </c>
      <c r="I127" t="s">
        <v>398</v>
      </c>
      <c r="J127">
        <v>-142.05969999999999</v>
      </c>
      <c r="K127" t="s">
        <v>5</v>
      </c>
    </row>
    <row r="128" spans="1:11" x14ac:dyDescent="0.3">
      <c r="A128">
        <v>127</v>
      </c>
      <c r="B128">
        <v>58</v>
      </c>
      <c r="C128">
        <v>98</v>
      </c>
      <c r="D128" t="s">
        <v>68</v>
      </c>
      <c r="E128" t="s">
        <v>389</v>
      </c>
      <c r="F128" t="s">
        <v>160</v>
      </c>
      <c r="G128" t="s">
        <v>225</v>
      </c>
      <c r="H128" t="s">
        <v>14</v>
      </c>
      <c r="I128" t="s">
        <v>59</v>
      </c>
      <c r="J128">
        <v>927.40139999999997</v>
      </c>
      <c r="K128" t="s">
        <v>5</v>
      </c>
    </row>
    <row r="129" spans="1:11" x14ac:dyDescent="0.3">
      <c r="A129">
        <v>128</v>
      </c>
      <c r="B129">
        <v>58</v>
      </c>
      <c r="C129">
        <v>44</v>
      </c>
      <c r="D129" t="s">
        <v>84</v>
      </c>
      <c r="E129" t="s">
        <v>389</v>
      </c>
      <c r="F129" t="s">
        <v>61</v>
      </c>
      <c r="G129" t="s">
        <v>226</v>
      </c>
      <c r="H129" t="s">
        <v>393</v>
      </c>
      <c r="I129" t="s">
        <v>397</v>
      </c>
      <c r="J129">
        <v>-55.932299999999998</v>
      </c>
      <c r="K129" t="s">
        <v>5</v>
      </c>
    </row>
    <row r="130" spans="1:11" x14ac:dyDescent="0.3">
      <c r="A130">
        <v>129</v>
      </c>
      <c r="B130">
        <v>180</v>
      </c>
      <c r="C130">
        <v>118</v>
      </c>
      <c r="D130" t="s">
        <v>89</v>
      </c>
      <c r="E130" t="s">
        <v>41</v>
      </c>
      <c r="F130" t="s">
        <v>34</v>
      </c>
      <c r="G130" t="s">
        <v>227</v>
      </c>
      <c r="H130" t="s">
        <v>13</v>
      </c>
      <c r="I130" t="s">
        <v>398</v>
      </c>
      <c r="J130">
        <v>295.8938</v>
      </c>
      <c r="K130" t="s">
        <v>7</v>
      </c>
    </row>
    <row r="131" spans="1:11" x14ac:dyDescent="0.3">
      <c r="A131">
        <v>130</v>
      </c>
      <c r="B131">
        <v>157</v>
      </c>
      <c r="C131">
        <v>148</v>
      </c>
      <c r="D131" t="s">
        <v>33</v>
      </c>
      <c r="E131" t="s">
        <v>29</v>
      </c>
      <c r="F131" t="s">
        <v>111</v>
      </c>
      <c r="G131" t="s">
        <v>170</v>
      </c>
      <c r="I131" t="s">
        <v>51</v>
      </c>
      <c r="J131">
        <v>980.2133</v>
      </c>
      <c r="K131" t="s">
        <v>391</v>
      </c>
    </row>
    <row r="132" spans="1:11" x14ac:dyDescent="0.3">
      <c r="A132">
        <v>131</v>
      </c>
      <c r="B132">
        <v>159</v>
      </c>
      <c r="C132">
        <v>56</v>
      </c>
      <c r="D132" t="s">
        <v>109</v>
      </c>
      <c r="E132" t="s">
        <v>392</v>
      </c>
      <c r="F132" t="s">
        <v>145</v>
      </c>
      <c r="G132" t="s">
        <v>209</v>
      </c>
      <c r="H132" t="s">
        <v>13</v>
      </c>
      <c r="I132" t="s">
        <v>47</v>
      </c>
      <c r="J132">
        <v>178.17679999999999</v>
      </c>
      <c r="K132" t="s">
        <v>3</v>
      </c>
    </row>
    <row r="133" spans="1:11" x14ac:dyDescent="0.3">
      <c r="A133">
        <v>132</v>
      </c>
      <c r="B133">
        <v>110</v>
      </c>
      <c r="C133">
        <v>11</v>
      </c>
      <c r="D133" t="s">
        <v>109</v>
      </c>
      <c r="E133" t="s">
        <v>29</v>
      </c>
      <c r="F133" t="s">
        <v>61</v>
      </c>
      <c r="G133" t="s">
        <v>228</v>
      </c>
      <c r="H133" t="s">
        <v>6</v>
      </c>
      <c r="I133" t="s">
        <v>402</v>
      </c>
      <c r="J133">
        <v>342.37950000000001</v>
      </c>
      <c r="K133" t="s">
        <v>7</v>
      </c>
    </row>
    <row r="134" spans="1:11" x14ac:dyDescent="0.3">
      <c r="A134">
        <v>133</v>
      </c>
      <c r="B134">
        <v>171</v>
      </c>
      <c r="C134">
        <v>17</v>
      </c>
      <c r="D134" t="s">
        <v>194</v>
      </c>
      <c r="E134" t="s">
        <v>392</v>
      </c>
      <c r="F134" t="s">
        <v>53</v>
      </c>
      <c r="G134" t="s">
        <v>138</v>
      </c>
      <c r="H134" t="s">
        <v>393</v>
      </c>
      <c r="I134" t="s">
        <v>398</v>
      </c>
      <c r="J134">
        <v>800.8288</v>
      </c>
      <c r="K134" t="s">
        <v>391</v>
      </c>
    </row>
    <row r="135" spans="1:11" x14ac:dyDescent="0.3">
      <c r="A135">
        <v>134</v>
      </c>
      <c r="B135">
        <v>20</v>
      </c>
      <c r="C135">
        <v>59</v>
      </c>
      <c r="D135" t="s">
        <v>44</v>
      </c>
      <c r="E135" t="s">
        <v>389</v>
      </c>
      <c r="F135" t="s">
        <v>145</v>
      </c>
      <c r="G135" t="s">
        <v>229</v>
      </c>
      <c r="H135" t="s">
        <v>13</v>
      </c>
      <c r="I135" t="s">
        <v>36</v>
      </c>
      <c r="J135">
        <v>149.8827</v>
      </c>
      <c r="K135" t="s">
        <v>7</v>
      </c>
    </row>
    <row r="136" spans="1:11" x14ac:dyDescent="0.3">
      <c r="A136">
        <v>135</v>
      </c>
      <c r="B136">
        <v>99</v>
      </c>
      <c r="C136">
        <v>26</v>
      </c>
      <c r="D136" t="s">
        <v>230</v>
      </c>
      <c r="E136" t="s">
        <v>389</v>
      </c>
      <c r="F136" t="s">
        <v>82</v>
      </c>
      <c r="G136" t="s">
        <v>216</v>
      </c>
      <c r="H136" t="s">
        <v>393</v>
      </c>
      <c r="I136" t="s">
        <v>64</v>
      </c>
      <c r="J136">
        <v>-195.74870000000001</v>
      </c>
      <c r="K136" t="s">
        <v>391</v>
      </c>
    </row>
    <row r="137" spans="1:11" x14ac:dyDescent="0.3">
      <c r="A137">
        <v>136</v>
      </c>
      <c r="B137">
        <v>185</v>
      </c>
      <c r="C137">
        <v>22</v>
      </c>
      <c r="D137" t="s">
        <v>101</v>
      </c>
      <c r="E137" t="s">
        <v>41</v>
      </c>
      <c r="F137" t="s">
        <v>85</v>
      </c>
      <c r="G137" t="s">
        <v>146</v>
      </c>
      <c r="H137" t="s">
        <v>393</v>
      </c>
      <c r="I137" t="s">
        <v>64</v>
      </c>
      <c r="J137">
        <v>7.9272999999999998</v>
      </c>
      <c r="K137" t="s">
        <v>3</v>
      </c>
    </row>
    <row r="138" spans="1:11" x14ac:dyDescent="0.3">
      <c r="A138">
        <v>137</v>
      </c>
      <c r="B138">
        <v>51</v>
      </c>
      <c r="C138">
        <v>133</v>
      </c>
      <c r="D138" t="s">
        <v>115</v>
      </c>
      <c r="E138" t="s">
        <v>41</v>
      </c>
      <c r="F138" t="s">
        <v>38</v>
      </c>
      <c r="G138" t="s">
        <v>231</v>
      </c>
      <c r="H138" t="s">
        <v>395</v>
      </c>
      <c r="I138" t="s">
        <v>396</v>
      </c>
      <c r="J138">
        <v>438.78190000000001</v>
      </c>
      <c r="K138" t="s">
        <v>7</v>
      </c>
    </row>
    <row r="139" spans="1:11" x14ac:dyDescent="0.3">
      <c r="A139">
        <v>138</v>
      </c>
      <c r="B139">
        <v>50</v>
      </c>
      <c r="C139">
        <v>140</v>
      </c>
      <c r="D139" t="s">
        <v>158</v>
      </c>
      <c r="E139" t="s">
        <v>389</v>
      </c>
      <c r="F139" t="s">
        <v>45</v>
      </c>
      <c r="G139" t="s">
        <v>232</v>
      </c>
      <c r="H139" t="s">
        <v>393</v>
      </c>
      <c r="I139" t="s">
        <v>64</v>
      </c>
      <c r="J139">
        <v>316.45010000000002</v>
      </c>
      <c r="K139" t="s">
        <v>3</v>
      </c>
    </row>
    <row r="140" spans="1:11" x14ac:dyDescent="0.3">
      <c r="A140">
        <v>139</v>
      </c>
      <c r="B140">
        <v>113</v>
      </c>
      <c r="C140">
        <v>50</v>
      </c>
      <c r="D140" t="s">
        <v>197</v>
      </c>
      <c r="E140" t="s">
        <v>389</v>
      </c>
      <c r="F140" t="s">
        <v>87</v>
      </c>
      <c r="G140" t="s">
        <v>141</v>
      </c>
      <c r="H140" t="s">
        <v>395</v>
      </c>
      <c r="I140" t="s">
        <v>47</v>
      </c>
      <c r="J140">
        <v>350.8954</v>
      </c>
      <c r="K140" t="s">
        <v>391</v>
      </c>
    </row>
    <row r="141" spans="1:11" x14ac:dyDescent="0.3">
      <c r="A141">
        <v>140</v>
      </c>
      <c r="B141">
        <v>118</v>
      </c>
      <c r="C141">
        <v>32</v>
      </c>
      <c r="D141" t="s">
        <v>211</v>
      </c>
      <c r="E141" t="s">
        <v>392</v>
      </c>
      <c r="F141" t="s">
        <v>73</v>
      </c>
      <c r="G141" t="s">
        <v>196</v>
      </c>
      <c r="H141" t="s">
        <v>6</v>
      </c>
      <c r="I141" t="s">
        <v>32</v>
      </c>
      <c r="J141">
        <v>828.02179999999998</v>
      </c>
      <c r="K141" t="s">
        <v>3</v>
      </c>
    </row>
    <row r="142" spans="1:11" x14ac:dyDescent="0.3">
      <c r="A142">
        <v>141</v>
      </c>
      <c r="B142">
        <v>92</v>
      </c>
      <c r="C142">
        <v>1</v>
      </c>
      <c r="D142" t="s">
        <v>162</v>
      </c>
      <c r="E142" t="s">
        <v>389</v>
      </c>
      <c r="F142" t="s">
        <v>94</v>
      </c>
      <c r="G142" t="s">
        <v>39</v>
      </c>
      <c r="H142" t="s">
        <v>390</v>
      </c>
      <c r="I142" t="s">
        <v>402</v>
      </c>
      <c r="J142">
        <v>217.81880000000001</v>
      </c>
      <c r="K142" t="s">
        <v>391</v>
      </c>
    </row>
    <row r="143" spans="1:11" x14ac:dyDescent="0.3">
      <c r="A143">
        <v>142</v>
      </c>
      <c r="B143">
        <v>77</v>
      </c>
      <c r="C143">
        <v>122</v>
      </c>
      <c r="D143" t="s">
        <v>60</v>
      </c>
      <c r="E143" t="s">
        <v>29</v>
      </c>
      <c r="F143" t="s">
        <v>76</v>
      </c>
      <c r="G143" t="s">
        <v>233</v>
      </c>
      <c r="H143" t="s">
        <v>13</v>
      </c>
      <c r="I143" t="s">
        <v>36</v>
      </c>
      <c r="J143">
        <v>551.09540000000004</v>
      </c>
      <c r="K143" t="s">
        <v>3</v>
      </c>
    </row>
    <row r="144" spans="1:11" x14ac:dyDescent="0.3">
      <c r="A144">
        <v>143</v>
      </c>
      <c r="B144">
        <v>47</v>
      </c>
      <c r="C144">
        <v>17</v>
      </c>
      <c r="D144" t="s">
        <v>147</v>
      </c>
      <c r="E144" t="s">
        <v>389</v>
      </c>
      <c r="F144" t="s">
        <v>42</v>
      </c>
      <c r="G144" t="s">
        <v>234</v>
      </c>
      <c r="H144" t="s">
        <v>393</v>
      </c>
      <c r="I144" t="s">
        <v>40</v>
      </c>
      <c r="J144">
        <v>-41.724899999999998</v>
      </c>
      <c r="K144" t="s">
        <v>5</v>
      </c>
    </row>
    <row r="145" spans="1:11" x14ac:dyDescent="0.3">
      <c r="A145">
        <v>144</v>
      </c>
      <c r="B145">
        <v>174</v>
      </c>
      <c r="C145">
        <v>33</v>
      </c>
      <c r="D145" t="s">
        <v>183</v>
      </c>
      <c r="E145" t="s">
        <v>392</v>
      </c>
      <c r="F145" t="s">
        <v>151</v>
      </c>
      <c r="G145" t="s">
        <v>235</v>
      </c>
      <c r="H145" t="s">
        <v>14</v>
      </c>
      <c r="I145" t="s">
        <v>51</v>
      </c>
      <c r="J145">
        <v>933.28129999999999</v>
      </c>
      <c r="K145" t="s">
        <v>7</v>
      </c>
    </row>
    <row r="146" spans="1:11" x14ac:dyDescent="0.3">
      <c r="A146">
        <v>145</v>
      </c>
      <c r="B146">
        <v>50</v>
      </c>
      <c r="C146">
        <v>116</v>
      </c>
      <c r="D146" t="s">
        <v>158</v>
      </c>
      <c r="E146" t="s">
        <v>29</v>
      </c>
      <c r="F146" t="s">
        <v>94</v>
      </c>
      <c r="G146" t="s">
        <v>236</v>
      </c>
      <c r="H146" t="s">
        <v>6</v>
      </c>
      <c r="I146" t="s">
        <v>398</v>
      </c>
      <c r="J146">
        <v>684.50080000000003</v>
      </c>
      <c r="K146" t="s">
        <v>3</v>
      </c>
    </row>
    <row r="147" spans="1:11" x14ac:dyDescent="0.3">
      <c r="A147">
        <v>146</v>
      </c>
      <c r="B147">
        <v>178</v>
      </c>
      <c r="C147">
        <v>86</v>
      </c>
      <c r="D147" t="s">
        <v>33</v>
      </c>
      <c r="E147" t="s">
        <v>389</v>
      </c>
      <c r="F147" t="s">
        <v>71</v>
      </c>
      <c r="G147" t="s">
        <v>117</v>
      </c>
      <c r="H147" t="s">
        <v>393</v>
      </c>
      <c r="I147" t="s">
        <v>402</v>
      </c>
      <c r="J147">
        <v>463.15280000000001</v>
      </c>
      <c r="K147" t="s">
        <v>5</v>
      </c>
    </row>
    <row r="148" spans="1:11" x14ac:dyDescent="0.3">
      <c r="A148">
        <v>147</v>
      </c>
      <c r="B148">
        <v>109</v>
      </c>
      <c r="C148">
        <v>119</v>
      </c>
      <c r="D148" t="s">
        <v>220</v>
      </c>
      <c r="E148" t="s">
        <v>41</v>
      </c>
      <c r="F148" t="s">
        <v>34</v>
      </c>
      <c r="G148" t="s">
        <v>237</v>
      </c>
      <c r="H148" t="s">
        <v>13</v>
      </c>
      <c r="I148" t="s">
        <v>47</v>
      </c>
      <c r="J148">
        <v>952.69799999999998</v>
      </c>
      <c r="K148" t="s">
        <v>3</v>
      </c>
    </row>
    <row r="149" spans="1:11" x14ac:dyDescent="0.3">
      <c r="A149">
        <v>148</v>
      </c>
      <c r="B149">
        <v>183</v>
      </c>
      <c r="C149">
        <v>95</v>
      </c>
      <c r="D149" t="s">
        <v>81</v>
      </c>
      <c r="E149" t="s">
        <v>389</v>
      </c>
      <c r="F149" t="s">
        <v>61</v>
      </c>
      <c r="G149" t="s">
        <v>238</v>
      </c>
      <c r="H149" t="s">
        <v>14</v>
      </c>
      <c r="I149" t="s">
        <v>64</v>
      </c>
      <c r="J149">
        <v>844.56769999999995</v>
      </c>
      <c r="K149" t="s">
        <v>5</v>
      </c>
    </row>
    <row r="150" spans="1:11" x14ac:dyDescent="0.3">
      <c r="A150">
        <v>149</v>
      </c>
      <c r="B150">
        <v>11</v>
      </c>
      <c r="C150">
        <v>52</v>
      </c>
      <c r="D150" t="s">
        <v>149</v>
      </c>
      <c r="E150" t="s">
        <v>29</v>
      </c>
      <c r="F150" t="s">
        <v>76</v>
      </c>
      <c r="G150" t="s">
        <v>239</v>
      </c>
      <c r="H150" t="s">
        <v>13</v>
      </c>
      <c r="I150" t="s">
        <v>32</v>
      </c>
      <c r="J150">
        <v>292.92410000000001</v>
      </c>
      <c r="K150" t="s">
        <v>5</v>
      </c>
    </row>
    <row r="151" spans="1:11" x14ac:dyDescent="0.3">
      <c r="A151">
        <v>150</v>
      </c>
      <c r="B151">
        <v>91</v>
      </c>
      <c r="C151">
        <v>36</v>
      </c>
      <c r="D151" t="s">
        <v>70</v>
      </c>
      <c r="E151" t="s">
        <v>41</v>
      </c>
      <c r="F151" t="s">
        <v>42</v>
      </c>
      <c r="G151" t="s">
        <v>240</v>
      </c>
      <c r="H151" t="s">
        <v>6</v>
      </c>
      <c r="I151" t="s">
        <v>59</v>
      </c>
      <c r="J151">
        <v>235.36689999999999</v>
      </c>
      <c r="K151" t="s">
        <v>391</v>
      </c>
    </row>
    <row r="152" spans="1:11" x14ac:dyDescent="0.3">
      <c r="A152">
        <v>151</v>
      </c>
      <c r="B152">
        <v>107</v>
      </c>
      <c r="C152">
        <v>3</v>
      </c>
      <c r="D152" t="s">
        <v>185</v>
      </c>
      <c r="E152" t="s">
        <v>392</v>
      </c>
      <c r="F152" t="s">
        <v>53</v>
      </c>
      <c r="G152" t="s">
        <v>241</v>
      </c>
      <c r="I152" t="s">
        <v>32</v>
      </c>
      <c r="J152">
        <v>55.591500000000003</v>
      </c>
      <c r="K152" t="s">
        <v>3</v>
      </c>
    </row>
    <row r="153" spans="1:11" x14ac:dyDescent="0.3">
      <c r="A153">
        <v>152</v>
      </c>
      <c r="B153">
        <v>55</v>
      </c>
      <c r="C153">
        <v>33</v>
      </c>
      <c r="D153" t="s">
        <v>147</v>
      </c>
      <c r="E153" t="s">
        <v>389</v>
      </c>
      <c r="F153" t="s">
        <v>45</v>
      </c>
      <c r="G153" t="s">
        <v>242</v>
      </c>
      <c r="I153" t="s">
        <v>32</v>
      </c>
      <c r="J153">
        <v>990.17259999999999</v>
      </c>
      <c r="K153" t="s">
        <v>5</v>
      </c>
    </row>
    <row r="154" spans="1:11" x14ac:dyDescent="0.3">
      <c r="A154">
        <v>153</v>
      </c>
      <c r="B154">
        <v>18</v>
      </c>
      <c r="C154">
        <v>148</v>
      </c>
      <c r="D154" t="s">
        <v>120</v>
      </c>
      <c r="E154" t="s">
        <v>41</v>
      </c>
      <c r="F154" t="s">
        <v>82</v>
      </c>
      <c r="G154" t="s">
        <v>243</v>
      </c>
      <c r="H154" t="s">
        <v>390</v>
      </c>
      <c r="I154" t="s">
        <v>396</v>
      </c>
      <c r="J154">
        <v>705.97770000000003</v>
      </c>
      <c r="K154" t="s">
        <v>3</v>
      </c>
    </row>
    <row r="155" spans="1:11" x14ac:dyDescent="0.3">
      <c r="A155">
        <v>154</v>
      </c>
      <c r="B155">
        <v>25</v>
      </c>
      <c r="C155">
        <v>25</v>
      </c>
      <c r="D155" t="s">
        <v>183</v>
      </c>
      <c r="E155" t="s">
        <v>41</v>
      </c>
      <c r="F155" t="s">
        <v>104</v>
      </c>
      <c r="G155" t="s">
        <v>237</v>
      </c>
      <c r="H155" t="s">
        <v>6</v>
      </c>
      <c r="I155" t="s">
        <v>398</v>
      </c>
      <c r="J155">
        <v>98.849199999999996</v>
      </c>
      <c r="K155" t="s">
        <v>3</v>
      </c>
    </row>
    <row r="156" spans="1:11" x14ac:dyDescent="0.3">
      <c r="A156">
        <v>155</v>
      </c>
      <c r="B156">
        <v>116</v>
      </c>
      <c r="C156">
        <v>85</v>
      </c>
      <c r="D156" t="s">
        <v>194</v>
      </c>
      <c r="E156" t="s">
        <v>29</v>
      </c>
      <c r="F156" t="s">
        <v>45</v>
      </c>
      <c r="G156" t="s">
        <v>186</v>
      </c>
      <c r="H156" t="s">
        <v>14</v>
      </c>
      <c r="I156" t="s">
        <v>59</v>
      </c>
      <c r="J156">
        <v>-23.1691</v>
      </c>
      <c r="K156" t="s">
        <v>391</v>
      </c>
    </row>
    <row r="157" spans="1:11" x14ac:dyDescent="0.3">
      <c r="A157">
        <v>156</v>
      </c>
      <c r="B157">
        <v>154</v>
      </c>
      <c r="C157">
        <v>66</v>
      </c>
      <c r="D157" t="s">
        <v>37</v>
      </c>
      <c r="E157" t="s">
        <v>41</v>
      </c>
      <c r="F157" t="s">
        <v>34</v>
      </c>
      <c r="G157" t="s">
        <v>143</v>
      </c>
      <c r="I157" t="s">
        <v>55</v>
      </c>
      <c r="J157">
        <v>268.58409999999998</v>
      </c>
      <c r="K157" t="s">
        <v>7</v>
      </c>
    </row>
    <row r="158" spans="1:11" x14ac:dyDescent="0.3">
      <c r="A158">
        <v>157</v>
      </c>
      <c r="B158">
        <v>112</v>
      </c>
      <c r="C158">
        <v>34</v>
      </c>
      <c r="D158" t="s">
        <v>244</v>
      </c>
      <c r="E158" t="s">
        <v>41</v>
      </c>
      <c r="F158" t="s">
        <v>145</v>
      </c>
      <c r="G158" t="s">
        <v>124</v>
      </c>
      <c r="I158" t="s">
        <v>59</v>
      </c>
      <c r="J158">
        <v>90.513000000000005</v>
      </c>
      <c r="K158" t="s">
        <v>5</v>
      </c>
    </row>
    <row r="159" spans="1:11" x14ac:dyDescent="0.3">
      <c r="A159">
        <v>158</v>
      </c>
      <c r="B159">
        <v>185</v>
      </c>
      <c r="C159">
        <v>70</v>
      </c>
      <c r="D159" t="s">
        <v>139</v>
      </c>
      <c r="E159" t="s">
        <v>29</v>
      </c>
      <c r="F159" t="s">
        <v>76</v>
      </c>
      <c r="G159" t="s">
        <v>157</v>
      </c>
      <c r="H159" t="s">
        <v>6</v>
      </c>
      <c r="I159" t="s">
        <v>40</v>
      </c>
      <c r="J159">
        <v>907.32479999999998</v>
      </c>
      <c r="K159" t="s">
        <v>5</v>
      </c>
    </row>
    <row r="160" spans="1:11" x14ac:dyDescent="0.3">
      <c r="A160">
        <v>159</v>
      </c>
      <c r="B160">
        <v>87</v>
      </c>
      <c r="C160">
        <v>47</v>
      </c>
      <c r="D160" t="s">
        <v>101</v>
      </c>
      <c r="E160" t="s">
        <v>392</v>
      </c>
      <c r="F160" t="s">
        <v>49</v>
      </c>
      <c r="G160" t="s">
        <v>114</v>
      </c>
      <c r="H160" t="s">
        <v>390</v>
      </c>
      <c r="I160" t="s">
        <v>398</v>
      </c>
      <c r="J160">
        <v>-54.969900000000003</v>
      </c>
      <c r="K160" t="s">
        <v>7</v>
      </c>
    </row>
    <row r="161" spans="1:11" x14ac:dyDescent="0.3">
      <c r="A161">
        <v>160</v>
      </c>
      <c r="B161">
        <v>147</v>
      </c>
      <c r="C161">
        <v>69</v>
      </c>
      <c r="D161" t="s">
        <v>214</v>
      </c>
      <c r="E161" t="s">
        <v>29</v>
      </c>
      <c r="F161" t="s">
        <v>38</v>
      </c>
      <c r="G161" t="s">
        <v>103</v>
      </c>
      <c r="H161" t="s">
        <v>14</v>
      </c>
      <c r="I161" t="s">
        <v>55</v>
      </c>
      <c r="J161">
        <v>-208.95840000000001</v>
      </c>
      <c r="K161" t="s">
        <v>7</v>
      </c>
    </row>
    <row r="162" spans="1:11" x14ac:dyDescent="0.3">
      <c r="A162">
        <v>161</v>
      </c>
      <c r="B162">
        <v>131</v>
      </c>
      <c r="C162">
        <v>83</v>
      </c>
      <c r="D162" t="s">
        <v>91</v>
      </c>
      <c r="E162" t="s">
        <v>41</v>
      </c>
      <c r="F162" t="s">
        <v>151</v>
      </c>
      <c r="G162" t="s">
        <v>225</v>
      </c>
      <c r="H162" t="s">
        <v>393</v>
      </c>
      <c r="I162" t="s">
        <v>40</v>
      </c>
      <c r="J162">
        <v>-245.36539999999999</v>
      </c>
      <c r="K162" t="s">
        <v>7</v>
      </c>
    </row>
    <row r="163" spans="1:11" x14ac:dyDescent="0.3">
      <c r="A163">
        <v>162</v>
      </c>
      <c r="B163">
        <v>177</v>
      </c>
      <c r="C163">
        <v>84</v>
      </c>
      <c r="D163" t="s">
        <v>56</v>
      </c>
      <c r="E163" t="s">
        <v>29</v>
      </c>
      <c r="F163" t="s">
        <v>66</v>
      </c>
      <c r="G163" t="s">
        <v>245</v>
      </c>
      <c r="H163" t="s">
        <v>14</v>
      </c>
      <c r="I163" t="s">
        <v>40</v>
      </c>
      <c r="J163">
        <v>429.26049999999998</v>
      </c>
      <c r="K163" t="s">
        <v>7</v>
      </c>
    </row>
    <row r="164" spans="1:11" x14ac:dyDescent="0.3">
      <c r="A164">
        <v>163</v>
      </c>
      <c r="B164">
        <v>166</v>
      </c>
      <c r="C164">
        <v>40</v>
      </c>
      <c r="D164" t="s">
        <v>230</v>
      </c>
      <c r="E164" t="s">
        <v>389</v>
      </c>
      <c r="F164" t="s">
        <v>131</v>
      </c>
      <c r="G164" t="s">
        <v>192</v>
      </c>
      <c r="H164" t="s">
        <v>390</v>
      </c>
      <c r="I164" t="s">
        <v>47</v>
      </c>
      <c r="J164">
        <v>123.7726</v>
      </c>
      <c r="K164" t="s">
        <v>3</v>
      </c>
    </row>
    <row r="165" spans="1:11" x14ac:dyDescent="0.3">
      <c r="A165">
        <v>164</v>
      </c>
      <c r="B165">
        <v>7</v>
      </c>
      <c r="C165">
        <v>114</v>
      </c>
      <c r="D165" t="s">
        <v>176</v>
      </c>
      <c r="E165" t="s">
        <v>29</v>
      </c>
      <c r="F165" t="s">
        <v>97</v>
      </c>
      <c r="G165" t="s">
        <v>117</v>
      </c>
      <c r="H165" t="s">
        <v>14</v>
      </c>
      <c r="I165" t="s">
        <v>64</v>
      </c>
      <c r="J165">
        <v>-99.235699999999994</v>
      </c>
      <c r="K165" t="s">
        <v>391</v>
      </c>
    </row>
    <row r="166" spans="1:11" x14ac:dyDescent="0.3">
      <c r="A166">
        <v>165</v>
      </c>
      <c r="B166">
        <v>104</v>
      </c>
      <c r="C166">
        <v>32</v>
      </c>
      <c r="D166" t="s">
        <v>68</v>
      </c>
      <c r="E166" t="s">
        <v>392</v>
      </c>
      <c r="F166" t="s">
        <v>45</v>
      </c>
      <c r="G166" t="s">
        <v>246</v>
      </c>
      <c r="H166" t="s">
        <v>13</v>
      </c>
      <c r="I166" t="s">
        <v>401</v>
      </c>
      <c r="J166">
        <v>2.5354000000000001</v>
      </c>
      <c r="K166" t="s">
        <v>5</v>
      </c>
    </row>
    <row r="167" spans="1:11" x14ac:dyDescent="0.3">
      <c r="A167">
        <v>166</v>
      </c>
      <c r="B167">
        <v>174</v>
      </c>
      <c r="C167">
        <v>102</v>
      </c>
      <c r="D167" t="s">
        <v>28</v>
      </c>
      <c r="E167" t="s">
        <v>389</v>
      </c>
      <c r="F167" t="s">
        <v>85</v>
      </c>
      <c r="G167" t="s">
        <v>247</v>
      </c>
      <c r="H167" t="s">
        <v>13</v>
      </c>
      <c r="I167" t="s">
        <v>51</v>
      </c>
      <c r="J167">
        <v>528.31460000000004</v>
      </c>
      <c r="K167" t="s">
        <v>7</v>
      </c>
    </row>
    <row r="168" spans="1:11" x14ac:dyDescent="0.3">
      <c r="A168">
        <v>167</v>
      </c>
      <c r="B168">
        <v>115</v>
      </c>
      <c r="C168">
        <v>22</v>
      </c>
      <c r="D168" t="s">
        <v>162</v>
      </c>
      <c r="E168" t="s">
        <v>29</v>
      </c>
      <c r="F168" t="s">
        <v>71</v>
      </c>
      <c r="G168" t="s">
        <v>190</v>
      </c>
      <c r="H168" t="s">
        <v>393</v>
      </c>
      <c r="I168" t="s">
        <v>394</v>
      </c>
      <c r="J168">
        <v>783.82770000000005</v>
      </c>
      <c r="K168" t="s">
        <v>391</v>
      </c>
    </row>
    <row r="169" spans="1:11" x14ac:dyDescent="0.3">
      <c r="A169">
        <v>168</v>
      </c>
      <c r="B169">
        <v>137</v>
      </c>
      <c r="C169">
        <v>77</v>
      </c>
      <c r="D169" t="s">
        <v>220</v>
      </c>
      <c r="E169" t="s">
        <v>389</v>
      </c>
      <c r="F169" t="s">
        <v>111</v>
      </c>
      <c r="G169" t="s">
        <v>144</v>
      </c>
      <c r="H169" t="s">
        <v>6</v>
      </c>
      <c r="I169" t="s">
        <v>55</v>
      </c>
      <c r="J169">
        <v>9.56</v>
      </c>
      <c r="K169" t="s">
        <v>5</v>
      </c>
    </row>
    <row r="170" spans="1:11" x14ac:dyDescent="0.3">
      <c r="A170">
        <v>169</v>
      </c>
      <c r="B170">
        <v>90</v>
      </c>
      <c r="C170">
        <v>99</v>
      </c>
      <c r="D170" t="s">
        <v>211</v>
      </c>
      <c r="E170" t="s">
        <v>392</v>
      </c>
      <c r="F170" t="s">
        <v>76</v>
      </c>
      <c r="G170" t="s">
        <v>248</v>
      </c>
      <c r="H170" t="s">
        <v>14</v>
      </c>
      <c r="I170" t="s">
        <v>36</v>
      </c>
      <c r="J170">
        <v>172.94040000000001</v>
      </c>
      <c r="K170" t="s">
        <v>5</v>
      </c>
    </row>
    <row r="171" spans="1:11" x14ac:dyDescent="0.3">
      <c r="A171">
        <v>170</v>
      </c>
      <c r="B171">
        <v>40</v>
      </c>
      <c r="C171">
        <v>54</v>
      </c>
      <c r="D171" t="s">
        <v>139</v>
      </c>
      <c r="E171" t="s">
        <v>29</v>
      </c>
      <c r="F171" t="s">
        <v>135</v>
      </c>
      <c r="G171" t="s">
        <v>249</v>
      </c>
      <c r="H171" t="s">
        <v>390</v>
      </c>
      <c r="I171" t="s">
        <v>64</v>
      </c>
      <c r="J171">
        <v>318.49880000000002</v>
      </c>
      <c r="K171" t="s">
        <v>3</v>
      </c>
    </row>
    <row r="172" spans="1:11" x14ac:dyDescent="0.3">
      <c r="A172">
        <v>171</v>
      </c>
      <c r="B172">
        <v>44</v>
      </c>
      <c r="C172">
        <v>64</v>
      </c>
      <c r="D172" t="s">
        <v>96</v>
      </c>
      <c r="E172" t="s">
        <v>392</v>
      </c>
      <c r="F172" t="s">
        <v>82</v>
      </c>
      <c r="G172" t="s">
        <v>250</v>
      </c>
      <c r="H172" t="s">
        <v>14</v>
      </c>
      <c r="I172" t="s">
        <v>36</v>
      </c>
      <c r="J172">
        <v>-152.84360000000001</v>
      </c>
      <c r="K172" t="s">
        <v>7</v>
      </c>
    </row>
    <row r="173" spans="1:11" x14ac:dyDescent="0.3">
      <c r="A173">
        <v>172</v>
      </c>
      <c r="B173">
        <v>134</v>
      </c>
      <c r="C173">
        <v>101</v>
      </c>
      <c r="D173" t="s">
        <v>101</v>
      </c>
      <c r="E173" t="s">
        <v>389</v>
      </c>
      <c r="F173" t="s">
        <v>82</v>
      </c>
      <c r="G173" t="s">
        <v>251</v>
      </c>
      <c r="I173" t="s">
        <v>40</v>
      </c>
      <c r="J173">
        <v>925.41030000000001</v>
      </c>
      <c r="K173" t="s">
        <v>7</v>
      </c>
    </row>
    <row r="174" spans="1:11" x14ac:dyDescent="0.3">
      <c r="A174">
        <v>173</v>
      </c>
      <c r="B174">
        <v>139</v>
      </c>
      <c r="C174">
        <v>125</v>
      </c>
      <c r="D174" t="s">
        <v>142</v>
      </c>
      <c r="E174" t="s">
        <v>389</v>
      </c>
      <c r="F174" t="s">
        <v>97</v>
      </c>
      <c r="G174" t="s">
        <v>252</v>
      </c>
      <c r="H174" t="s">
        <v>6</v>
      </c>
      <c r="I174" t="s">
        <v>398</v>
      </c>
      <c r="J174">
        <v>124.3339</v>
      </c>
      <c r="K174" t="s">
        <v>5</v>
      </c>
    </row>
    <row r="175" spans="1:11" x14ac:dyDescent="0.3">
      <c r="A175">
        <v>174</v>
      </c>
      <c r="B175">
        <v>166</v>
      </c>
      <c r="C175">
        <v>25</v>
      </c>
      <c r="D175" t="s">
        <v>154</v>
      </c>
      <c r="E175" t="s">
        <v>389</v>
      </c>
      <c r="F175" t="s">
        <v>38</v>
      </c>
      <c r="G175" t="s">
        <v>253</v>
      </c>
      <c r="H175" t="s">
        <v>395</v>
      </c>
      <c r="I175" t="s">
        <v>40</v>
      </c>
      <c r="J175">
        <v>392.92079999999999</v>
      </c>
      <c r="K175" t="s">
        <v>3</v>
      </c>
    </row>
    <row r="176" spans="1:11" x14ac:dyDescent="0.3">
      <c r="A176">
        <v>175</v>
      </c>
      <c r="B176">
        <v>74</v>
      </c>
      <c r="C176">
        <v>68</v>
      </c>
      <c r="D176" t="s">
        <v>81</v>
      </c>
      <c r="E176" t="s">
        <v>29</v>
      </c>
      <c r="F176" t="s">
        <v>102</v>
      </c>
      <c r="G176" t="s">
        <v>254</v>
      </c>
      <c r="H176" t="s">
        <v>14</v>
      </c>
      <c r="I176" t="s">
        <v>36</v>
      </c>
      <c r="J176">
        <v>611.38149999999996</v>
      </c>
      <c r="K176" t="s">
        <v>3</v>
      </c>
    </row>
    <row r="177" spans="1:11" x14ac:dyDescent="0.3">
      <c r="A177">
        <v>176</v>
      </c>
      <c r="B177">
        <v>167</v>
      </c>
      <c r="C177">
        <v>54</v>
      </c>
      <c r="D177" t="s">
        <v>120</v>
      </c>
      <c r="E177" t="s">
        <v>41</v>
      </c>
      <c r="F177" t="s">
        <v>97</v>
      </c>
      <c r="G177" t="s">
        <v>255</v>
      </c>
      <c r="I177" t="s">
        <v>51</v>
      </c>
      <c r="J177">
        <v>-114.69</v>
      </c>
      <c r="K177" t="s">
        <v>3</v>
      </c>
    </row>
    <row r="178" spans="1:11" x14ac:dyDescent="0.3">
      <c r="A178">
        <v>177</v>
      </c>
      <c r="B178">
        <v>36</v>
      </c>
      <c r="C178">
        <v>49</v>
      </c>
      <c r="D178" t="s">
        <v>120</v>
      </c>
      <c r="E178" t="s">
        <v>392</v>
      </c>
      <c r="F178" t="s">
        <v>71</v>
      </c>
      <c r="G178" t="s">
        <v>256</v>
      </c>
      <c r="H178" t="s">
        <v>393</v>
      </c>
      <c r="I178" t="s">
        <v>64</v>
      </c>
      <c r="J178">
        <v>877.64509999999996</v>
      </c>
      <c r="K178" t="s">
        <v>3</v>
      </c>
    </row>
    <row r="179" spans="1:11" x14ac:dyDescent="0.3">
      <c r="A179">
        <v>178</v>
      </c>
      <c r="B179">
        <v>23</v>
      </c>
      <c r="C179">
        <v>136</v>
      </c>
      <c r="D179" t="s">
        <v>128</v>
      </c>
      <c r="E179" t="s">
        <v>29</v>
      </c>
      <c r="F179" t="s">
        <v>116</v>
      </c>
      <c r="G179" t="s">
        <v>169</v>
      </c>
      <c r="I179" t="s">
        <v>402</v>
      </c>
      <c r="J179">
        <v>972.06610000000001</v>
      </c>
      <c r="K179" t="s">
        <v>3</v>
      </c>
    </row>
    <row r="180" spans="1:11" x14ac:dyDescent="0.3">
      <c r="A180">
        <v>179</v>
      </c>
      <c r="B180">
        <v>100</v>
      </c>
      <c r="C180">
        <v>112</v>
      </c>
      <c r="D180" t="s">
        <v>191</v>
      </c>
      <c r="E180" t="s">
        <v>41</v>
      </c>
      <c r="F180" t="s">
        <v>107</v>
      </c>
      <c r="G180" t="s">
        <v>246</v>
      </c>
      <c r="H180" t="s">
        <v>393</v>
      </c>
      <c r="I180" t="s">
        <v>55</v>
      </c>
      <c r="J180">
        <v>-54.795099999999998</v>
      </c>
      <c r="K180" t="s">
        <v>7</v>
      </c>
    </row>
    <row r="181" spans="1:11" x14ac:dyDescent="0.3">
      <c r="A181">
        <v>180</v>
      </c>
      <c r="B181">
        <v>58</v>
      </c>
      <c r="C181">
        <v>144</v>
      </c>
      <c r="D181" t="s">
        <v>84</v>
      </c>
      <c r="E181" t="s">
        <v>29</v>
      </c>
      <c r="F181" t="s">
        <v>38</v>
      </c>
      <c r="G181" t="s">
        <v>257</v>
      </c>
      <c r="H181" t="s">
        <v>393</v>
      </c>
      <c r="I181" t="s">
        <v>32</v>
      </c>
      <c r="J181">
        <v>157.59950000000001</v>
      </c>
      <c r="K181" t="s">
        <v>3</v>
      </c>
    </row>
    <row r="182" spans="1:11" x14ac:dyDescent="0.3">
      <c r="A182">
        <v>181</v>
      </c>
      <c r="B182">
        <v>91</v>
      </c>
      <c r="C182">
        <v>22</v>
      </c>
      <c r="D182" t="s">
        <v>48</v>
      </c>
      <c r="E182" t="s">
        <v>389</v>
      </c>
      <c r="F182" t="s">
        <v>49</v>
      </c>
      <c r="G182" t="s">
        <v>258</v>
      </c>
      <c r="H182" t="s">
        <v>14</v>
      </c>
      <c r="I182" t="s">
        <v>402</v>
      </c>
      <c r="J182">
        <v>731.43449999999996</v>
      </c>
      <c r="K182" t="s">
        <v>7</v>
      </c>
    </row>
    <row r="183" spans="1:11" x14ac:dyDescent="0.3">
      <c r="A183">
        <v>182</v>
      </c>
      <c r="B183">
        <v>173</v>
      </c>
      <c r="C183">
        <v>14</v>
      </c>
      <c r="D183" t="s">
        <v>142</v>
      </c>
      <c r="E183" t="s">
        <v>389</v>
      </c>
      <c r="F183" t="s">
        <v>102</v>
      </c>
      <c r="G183" t="s">
        <v>259</v>
      </c>
      <c r="H183" t="s">
        <v>6</v>
      </c>
      <c r="I183" t="s">
        <v>64</v>
      </c>
      <c r="J183">
        <v>824.13589999999999</v>
      </c>
      <c r="K183" t="s">
        <v>391</v>
      </c>
    </row>
    <row r="184" spans="1:11" x14ac:dyDescent="0.3">
      <c r="A184">
        <v>183</v>
      </c>
      <c r="B184">
        <v>6</v>
      </c>
      <c r="C184">
        <v>9</v>
      </c>
      <c r="D184" t="s">
        <v>220</v>
      </c>
      <c r="E184" t="s">
        <v>392</v>
      </c>
      <c r="F184" t="s">
        <v>116</v>
      </c>
      <c r="G184" t="s">
        <v>260</v>
      </c>
      <c r="H184" t="s">
        <v>390</v>
      </c>
      <c r="I184" t="s">
        <v>55</v>
      </c>
      <c r="J184">
        <v>-111.2376</v>
      </c>
      <c r="K184" t="s">
        <v>5</v>
      </c>
    </row>
    <row r="185" spans="1:11" x14ac:dyDescent="0.3">
      <c r="A185">
        <v>184</v>
      </c>
      <c r="B185">
        <v>199</v>
      </c>
      <c r="C185">
        <v>16</v>
      </c>
      <c r="D185" t="s">
        <v>68</v>
      </c>
      <c r="E185" t="s">
        <v>392</v>
      </c>
      <c r="F185" t="s">
        <v>151</v>
      </c>
      <c r="G185" t="s">
        <v>110</v>
      </c>
      <c r="H185" t="s">
        <v>393</v>
      </c>
      <c r="I185" t="s">
        <v>397</v>
      </c>
      <c r="J185">
        <v>-130.70259999999999</v>
      </c>
      <c r="K185" t="s">
        <v>5</v>
      </c>
    </row>
    <row r="186" spans="1:11" x14ac:dyDescent="0.3">
      <c r="A186">
        <v>185</v>
      </c>
      <c r="B186">
        <v>105</v>
      </c>
      <c r="C186">
        <v>8</v>
      </c>
      <c r="D186" t="s">
        <v>220</v>
      </c>
      <c r="E186" t="s">
        <v>389</v>
      </c>
      <c r="F186" t="s">
        <v>71</v>
      </c>
      <c r="G186" t="s">
        <v>261</v>
      </c>
      <c r="H186" t="s">
        <v>6</v>
      </c>
      <c r="I186" t="s">
        <v>64</v>
      </c>
      <c r="J186">
        <v>591.48030000000006</v>
      </c>
      <c r="K186" t="s">
        <v>7</v>
      </c>
    </row>
    <row r="187" spans="1:11" x14ac:dyDescent="0.3">
      <c r="A187">
        <v>186</v>
      </c>
      <c r="B187">
        <v>75</v>
      </c>
      <c r="C187">
        <v>1</v>
      </c>
      <c r="D187" t="s">
        <v>84</v>
      </c>
      <c r="E187" t="s">
        <v>392</v>
      </c>
      <c r="F187" t="s">
        <v>42</v>
      </c>
      <c r="G187" t="s">
        <v>262</v>
      </c>
      <c r="H187" t="s">
        <v>393</v>
      </c>
      <c r="I187" t="s">
        <v>396</v>
      </c>
      <c r="J187">
        <v>969.21100000000001</v>
      </c>
      <c r="K187" t="s">
        <v>391</v>
      </c>
    </row>
    <row r="188" spans="1:11" x14ac:dyDescent="0.3">
      <c r="A188">
        <v>187</v>
      </c>
      <c r="B188">
        <v>7</v>
      </c>
      <c r="C188">
        <v>18</v>
      </c>
      <c r="D188" t="s">
        <v>220</v>
      </c>
      <c r="E188" t="s">
        <v>389</v>
      </c>
      <c r="F188" t="s">
        <v>42</v>
      </c>
      <c r="G188" t="s">
        <v>263</v>
      </c>
      <c r="H188" t="s">
        <v>13</v>
      </c>
      <c r="I188" t="s">
        <v>401</v>
      </c>
      <c r="J188">
        <v>315.58300000000003</v>
      </c>
      <c r="K188" t="s">
        <v>391</v>
      </c>
    </row>
    <row r="189" spans="1:11" x14ac:dyDescent="0.3">
      <c r="A189">
        <v>188</v>
      </c>
      <c r="B189">
        <v>91</v>
      </c>
      <c r="C189">
        <v>124</v>
      </c>
      <c r="D189" t="s">
        <v>78</v>
      </c>
      <c r="E189" t="s">
        <v>41</v>
      </c>
      <c r="F189" t="s">
        <v>66</v>
      </c>
      <c r="G189" t="s">
        <v>202</v>
      </c>
      <c r="H189" t="s">
        <v>393</v>
      </c>
      <c r="I189" t="s">
        <v>36</v>
      </c>
      <c r="J189">
        <v>279.47129999999999</v>
      </c>
      <c r="K189" t="s">
        <v>3</v>
      </c>
    </row>
    <row r="190" spans="1:11" x14ac:dyDescent="0.3">
      <c r="A190">
        <v>189</v>
      </c>
      <c r="B190">
        <v>123</v>
      </c>
      <c r="C190">
        <v>131</v>
      </c>
      <c r="D190" t="s">
        <v>217</v>
      </c>
      <c r="E190" t="s">
        <v>29</v>
      </c>
      <c r="F190" t="s">
        <v>76</v>
      </c>
      <c r="G190" t="s">
        <v>213</v>
      </c>
      <c r="H190" t="s">
        <v>390</v>
      </c>
      <c r="I190" t="s">
        <v>32</v>
      </c>
      <c r="J190">
        <v>885.03340000000003</v>
      </c>
      <c r="K190" t="s">
        <v>5</v>
      </c>
    </row>
    <row r="191" spans="1:11" x14ac:dyDescent="0.3">
      <c r="A191">
        <v>190</v>
      </c>
      <c r="B191">
        <v>55</v>
      </c>
      <c r="C191">
        <v>94</v>
      </c>
      <c r="D191" t="s">
        <v>91</v>
      </c>
      <c r="E191" t="s">
        <v>392</v>
      </c>
      <c r="F191" t="s">
        <v>145</v>
      </c>
      <c r="G191" t="s">
        <v>264</v>
      </c>
      <c r="H191" t="s">
        <v>393</v>
      </c>
      <c r="I191" t="s">
        <v>32</v>
      </c>
      <c r="J191">
        <v>-153.58519999999999</v>
      </c>
      <c r="K191" t="s">
        <v>5</v>
      </c>
    </row>
    <row r="192" spans="1:11" x14ac:dyDescent="0.3">
      <c r="A192">
        <v>191</v>
      </c>
      <c r="B192">
        <v>123</v>
      </c>
      <c r="C192">
        <v>131</v>
      </c>
      <c r="D192" t="s">
        <v>52</v>
      </c>
      <c r="E192" t="s">
        <v>41</v>
      </c>
      <c r="F192" t="s">
        <v>49</v>
      </c>
      <c r="G192" t="s">
        <v>265</v>
      </c>
      <c r="H192" t="s">
        <v>390</v>
      </c>
      <c r="I192" t="s">
        <v>64</v>
      </c>
      <c r="J192">
        <v>153.2954</v>
      </c>
      <c r="K192" t="s">
        <v>391</v>
      </c>
    </row>
    <row r="193" spans="1:11" x14ac:dyDescent="0.3">
      <c r="A193">
        <v>192</v>
      </c>
      <c r="B193">
        <v>64</v>
      </c>
      <c r="C193">
        <v>126</v>
      </c>
      <c r="D193" t="s">
        <v>185</v>
      </c>
      <c r="E193" t="s">
        <v>392</v>
      </c>
      <c r="F193" t="s">
        <v>87</v>
      </c>
      <c r="G193" t="s">
        <v>215</v>
      </c>
      <c r="H193" t="s">
        <v>390</v>
      </c>
      <c r="I193" t="s">
        <v>51</v>
      </c>
      <c r="J193">
        <v>-230.411</v>
      </c>
      <c r="K193" t="s">
        <v>3</v>
      </c>
    </row>
    <row r="194" spans="1:11" x14ac:dyDescent="0.3">
      <c r="A194">
        <v>193</v>
      </c>
      <c r="B194">
        <v>167</v>
      </c>
      <c r="C194">
        <v>82</v>
      </c>
      <c r="D194" t="s">
        <v>52</v>
      </c>
      <c r="E194" t="s">
        <v>389</v>
      </c>
      <c r="F194" t="s">
        <v>111</v>
      </c>
      <c r="G194" t="s">
        <v>266</v>
      </c>
      <c r="H194" t="s">
        <v>6</v>
      </c>
      <c r="I194" t="s">
        <v>32</v>
      </c>
      <c r="J194">
        <v>325.53809999999999</v>
      </c>
      <c r="K194" t="s">
        <v>3</v>
      </c>
    </row>
    <row r="195" spans="1:11" x14ac:dyDescent="0.3">
      <c r="A195">
        <v>194</v>
      </c>
      <c r="B195">
        <v>13</v>
      </c>
      <c r="C195">
        <v>75</v>
      </c>
      <c r="D195" t="s">
        <v>48</v>
      </c>
      <c r="E195" t="s">
        <v>41</v>
      </c>
      <c r="F195" t="s">
        <v>85</v>
      </c>
      <c r="G195" t="s">
        <v>267</v>
      </c>
      <c r="I195" t="s">
        <v>64</v>
      </c>
      <c r="J195">
        <v>984.0616</v>
      </c>
      <c r="K195" t="s">
        <v>3</v>
      </c>
    </row>
    <row r="196" spans="1:11" x14ac:dyDescent="0.3">
      <c r="A196">
        <v>195</v>
      </c>
      <c r="B196">
        <v>94</v>
      </c>
      <c r="C196">
        <v>106</v>
      </c>
      <c r="D196" t="s">
        <v>93</v>
      </c>
      <c r="E196" t="s">
        <v>392</v>
      </c>
      <c r="F196" t="s">
        <v>151</v>
      </c>
      <c r="G196" t="s">
        <v>223</v>
      </c>
      <c r="H196" t="s">
        <v>6</v>
      </c>
      <c r="I196" t="s">
        <v>397</v>
      </c>
      <c r="J196">
        <v>722.30449999999996</v>
      </c>
      <c r="K196" t="s">
        <v>3</v>
      </c>
    </row>
    <row r="197" spans="1:11" x14ac:dyDescent="0.3">
      <c r="A197">
        <v>196</v>
      </c>
      <c r="B197">
        <v>50</v>
      </c>
      <c r="C197">
        <v>10</v>
      </c>
      <c r="D197" t="s">
        <v>60</v>
      </c>
      <c r="E197" t="s">
        <v>389</v>
      </c>
      <c r="F197" t="s">
        <v>145</v>
      </c>
      <c r="G197" t="s">
        <v>168</v>
      </c>
      <c r="H197" t="s">
        <v>390</v>
      </c>
      <c r="I197" t="s">
        <v>40</v>
      </c>
      <c r="J197">
        <v>171.8546</v>
      </c>
      <c r="K197" t="s">
        <v>7</v>
      </c>
    </row>
    <row r="198" spans="1:11" x14ac:dyDescent="0.3">
      <c r="A198">
        <v>197</v>
      </c>
      <c r="B198">
        <v>13</v>
      </c>
      <c r="C198">
        <v>51</v>
      </c>
      <c r="D198" t="s">
        <v>60</v>
      </c>
      <c r="E198" t="s">
        <v>29</v>
      </c>
      <c r="F198" t="s">
        <v>71</v>
      </c>
      <c r="G198" t="s">
        <v>268</v>
      </c>
      <c r="H198" t="s">
        <v>14</v>
      </c>
      <c r="I198" t="s">
        <v>59</v>
      </c>
      <c r="J198">
        <v>-174.1713</v>
      </c>
      <c r="K198" t="s">
        <v>7</v>
      </c>
    </row>
    <row r="199" spans="1:11" x14ac:dyDescent="0.3">
      <c r="A199">
        <v>198</v>
      </c>
      <c r="B199">
        <v>162</v>
      </c>
      <c r="C199">
        <v>143</v>
      </c>
      <c r="D199" t="s">
        <v>142</v>
      </c>
      <c r="E199" t="s">
        <v>392</v>
      </c>
      <c r="F199" t="s">
        <v>160</v>
      </c>
      <c r="G199" t="s">
        <v>100</v>
      </c>
      <c r="H199" t="s">
        <v>13</v>
      </c>
      <c r="I199" t="s">
        <v>55</v>
      </c>
      <c r="J199">
        <v>169.9494</v>
      </c>
      <c r="K199" t="s">
        <v>391</v>
      </c>
    </row>
    <row r="200" spans="1:11" x14ac:dyDescent="0.3">
      <c r="A200">
        <v>199</v>
      </c>
      <c r="B200">
        <v>115</v>
      </c>
      <c r="C200">
        <v>114</v>
      </c>
      <c r="D200" t="s">
        <v>28</v>
      </c>
      <c r="E200" t="s">
        <v>29</v>
      </c>
      <c r="F200" t="s">
        <v>104</v>
      </c>
      <c r="G200" t="s">
        <v>255</v>
      </c>
      <c r="I200" t="s">
        <v>402</v>
      </c>
      <c r="J200">
        <v>-243.72909999999999</v>
      </c>
      <c r="K200" t="s">
        <v>391</v>
      </c>
    </row>
    <row r="201" spans="1:11" x14ac:dyDescent="0.3">
      <c r="A201">
        <v>200</v>
      </c>
      <c r="B201">
        <v>1</v>
      </c>
      <c r="C201">
        <v>99</v>
      </c>
      <c r="D201" t="s">
        <v>33</v>
      </c>
      <c r="E201" t="s">
        <v>389</v>
      </c>
      <c r="F201" t="s">
        <v>85</v>
      </c>
      <c r="G201" t="s">
        <v>269</v>
      </c>
      <c r="H201" t="s">
        <v>390</v>
      </c>
      <c r="I201" t="s">
        <v>59</v>
      </c>
      <c r="J201">
        <v>-255.8347</v>
      </c>
      <c r="K201" t="s">
        <v>5</v>
      </c>
    </row>
    <row r="202" spans="1:11" x14ac:dyDescent="0.3">
      <c r="A202">
        <v>201</v>
      </c>
      <c r="B202">
        <v>89</v>
      </c>
      <c r="C202">
        <v>76</v>
      </c>
      <c r="D202" t="s">
        <v>142</v>
      </c>
      <c r="E202" t="s">
        <v>29</v>
      </c>
      <c r="F202" t="s">
        <v>53</v>
      </c>
      <c r="G202" t="s">
        <v>270</v>
      </c>
      <c r="H202" t="s">
        <v>13</v>
      </c>
      <c r="I202" t="s">
        <v>32</v>
      </c>
      <c r="J202">
        <v>384.59699999999998</v>
      </c>
      <c r="K202" t="s">
        <v>3</v>
      </c>
    </row>
    <row r="203" spans="1:11" x14ac:dyDescent="0.3">
      <c r="A203">
        <v>202</v>
      </c>
      <c r="B203">
        <v>76</v>
      </c>
      <c r="C203">
        <v>115</v>
      </c>
      <c r="D203" t="s">
        <v>130</v>
      </c>
      <c r="E203" t="s">
        <v>41</v>
      </c>
      <c r="F203" t="s">
        <v>42</v>
      </c>
      <c r="G203" t="s">
        <v>271</v>
      </c>
      <c r="H203" t="s">
        <v>390</v>
      </c>
      <c r="I203" t="s">
        <v>401</v>
      </c>
      <c r="J203">
        <v>542.28710000000001</v>
      </c>
      <c r="K203" t="s">
        <v>3</v>
      </c>
    </row>
    <row r="204" spans="1:11" x14ac:dyDescent="0.3">
      <c r="A204">
        <v>203</v>
      </c>
      <c r="B204">
        <v>112</v>
      </c>
      <c r="C204">
        <v>39</v>
      </c>
      <c r="D204" t="s">
        <v>149</v>
      </c>
      <c r="E204" t="s">
        <v>41</v>
      </c>
      <c r="F204" t="s">
        <v>87</v>
      </c>
      <c r="G204" t="s">
        <v>123</v>
      </c>
      <c r="H204" t="s">
        <v>14</v>
      </c>
      <c r="I204" t="s">
        <v>51</v>
      </c>
      <c r="J204">
        <v>-253.0188</v>
      </c>
      <c r="K204" t="s">
        <v>5</v>
      </c>
    </row>
    <row r="205" spans="1:11" x14ac:dyDescent="0.3">
      <c r="A205">
        <v>204</v>
      </c>
      <c r="B205">
        <v>173</v>
      </c>
      <c r="C205">
        <v>89</v>
      </c>
      <c r="D205" t="s">
        <v>214</v>
      </c>
      <c r="E205" t="s">
        <v>392</v>
      </c>
      <c r="F205" t="s">
        <v>116</v>
      </c>
      <c r="G205" t="s">
        <v>272</v>
      </c>
      <c r="H205" t="s">
        <v>6</v>
      </c>
      <c r="I205" t="s">
        <v>59</v>
      </c>
      <c r="J205">
        <v>334.7047</v>
      </c>
      <c r="K205" t="s">
        <v>3</v>
      </c>
    </row>
    <row r="206" spans="1:11" x14ac:dyDescent="0.3">
      <c r="A206">
        <v>205</v>
      </c>
      <c r="B206">
        <v>18</v>
      </c>
      <c r="C206">
        <v>2</v>
      </c>
      <c r="D206" t="s">
        <v>158</v>
      </c>
      <c r="E206" t="s">
        <v>389</v>
      </c>
      <c r="F206" t="s">
        <v>30</v>
      </c>
      <c r="G206" t="s">
        <v>273</v>
      </c>
      <c r="H206" t="s">
        <v>390</v>
      </c>
      <c r="I206" t="s">
        <v>64</v>
      </c>
      <c r="J206">
        <v>-167.03630000000001</v>
      </c>
      <c r="K206" t="s">
        <v>3</v>
      </c>
    </row>
    <row r="207" spans="1:11" x14ac:dyDescent="0.3">
      <c r="A207">
        <v>206</v>
      </c>
      <c r="B207">
        <v>199</v>
      </c>
      <c r="C207">
        <v>8</v>
      </c>
      <c r="D207" t="s">
        <v>44</v>
      </c>
      <c r="E207" t="s">
        <v>29</v>
      </c>
      <c r="F207" t="s">
        <v>53</v>
      </c>
      <c r="G207" t="s">
        <v>129</v>
      </c>
      <c r="H207" t="s">
        <v>6</v>
      </c>
      <c r="I207" t="s">
        <v>47</v>
      </c>
      <c r="J207">
        <v>61.729500000000002</v>
      </c>
      <c r="K207" t="s">
        <v>7</v>
      </c>
    </row>
    <row r="208" spans="1:11" x14ac:dyDescent="0.3">
      <c r="A208">
        <v>207</v>
      </c>
      <c r="B208">
        <v>112</v>
      </c>
      <c r="C208">
        <v>139</v>
      </c>
      <c r="D208" t="s">
        <v>37</v>
      </c>
      <c r="E208" t="s">
        <v>389</v>
      </c>
      <c r="F208" t="s">
        <v>66</v>
      </c>
      <c r="G208" t="s">
        <v>274</v>
      </c>
      <c r="H208" t="s">
        <v>393</v>
      </c>
      <c r="I208" t="s">
        <v>55</v>
      </c>
      <c r="J208">
        <v>971.60230000000001</v>
      </c>
      <c r="K208" t="s">
        <v>5</v>
      </c>
    </row>
    <row r="209" spans="1:11" x14ac:dyDescent="0.3">
      <c r="A209">
        <v>208</v>
      </c>
      <c r="B209">
        <v>39</v>
      </c>
      <c r="C209">
        <v>3</v>
      </c>
      <c r="D209" t="s">
        <v>217</v>
      </c>
      <c r="E209" t="s">
        <v>41</v>
      </c>
      <c r="F209" t="s">
        <v>71</v>
      </c>
      <c r="G209" t="s">
        <v>275</v>
      </c>
      <c r="H209" t="s">
        <v>14</v>
      </c>
      <c r="I209" t="s">
        <v>64</v>
      </c>
      <c r="J209">
        <v>302.50189999999998</v>
      </c>
      <c r="K209" t="s">
        <v>391</v>
      </c>
    </row>
    <row r="210" spans="1:11" x14ac:dyDescent="0.3">
      <c r="A210">
        <v>209</v>
      </c>
      <c r="B210">
        <v>176</v>
      </c>
      <c r="C210">
        <v>68</v>
      </c>
      <c r="D210" t="s">
        <v>52</v>
      </c>
      <c r="E210" t="s">
        <v>389</v>
      </c>
      <c r="F210" t="s">
        <v>145</v>
      </c>
      <c r="G210" t="s">
        <v>276</v>
      </c>
      <c r="H210" t="s">
        <v>14</v>
      </c>
      <c r="I210" t="s">
        <v>59</v>
      </c>
      <c r="J210">
        <v>108.2809</v>
      </c>
      <c r="K210" t="s">
        <v>3</v>
      </c>
    </row>
    <row r="211" spans="1:11" x14ac:dyDescent="0.3">
      <c r="A211">
        <v>210</v>
      </c>
      <c r="B211">
        <v>179</v>
      </c>
      <c r="C211">
        <v>99</v>
      </c>
      <c r="D211" t="s">
        <v>113</v>
      </c>
      <c r="E211" t="s">
        <v>392</v>
      </c>
      <c r="F211" t="s">
        <v>171</v>
      </c>
      <c r="G211" t="s">
        <v>277</v>
      </c>
      <c r="H211" t="s">
        <v>390</v>
      </c>
      <c r="I211" t="s">
        <v>32</v>
      </c>
      <c r="J211">
        <v>836.74210000000005</v>
      </c>
      <c r="K211" t="s">
        <v>5</v>
      </c>
    </row>
    <row r="212" spans="1:11" x14ac:dyDescent="0.3">
      <c r="A212">
        <v>211</v>
      </c>
      <c r="B212">
        <v>88</v>
      </c>
      <c r="C212">
        <v>124</v>
      </c>
      <c r="D212" t="s">
        <v>78</v>
      </c>
      <c r="E212" t="s">
        <v>29</v>
      </c>
      <c r="F212" t="s">
        <v>151</v>
      </c>
      <c r="G212" t="s">
        <v>278</v>
      </c>
      <c r="H212" t="s">
        <v>395</v>
      </c>
      <c r="I212" t="s">
        <v>401</v>
      </c>
      <c r="J212">
        <v>790.63319999999999</v>
      </c>
      <c r="K212" t="s">
        <v>391</v>
      </c>
    </row>
    <row r="213" spans="1:11" x14ac:dyDescent="0.3">
      <c r="A213">
        <v>212</v>
      </c>
      <c r="B213">
        <v>124</v>
      </c>
      <c r="C213">
        <v>98</v>
      </c>
      <c r="D213" t="s">
        <v>81</v>
      </c>
      <c r="E213" t="s">
        <v>29</v>
      </c>
      <c r="F213" t="s">
        <v>104</v>
      </c>
      <c r="G213" t="s">
        <v>177</v>
      </c>
      <c r="H213" t="s">
        <v>395</v>
      </c>
      <c r="I213" t="s">
        <v>64</v>
      </c>
      <c r="J213">
        <v>-105.5304</v>
      </c>
      <c r="K213" t="s">
        <v>391</v>
      </c>
    </row>
    <row r="214" spans="1:11" x14ac:dyDescent="0.3">
      <c r="A214">
        <v>213</v>
      </c>
      <c r="B214">
        <v>68</v>
      </c>
      <c r="C214">
        <v>24</v>
      </c>
      <c r="D214" t="s">
        <v>89</v>
      </c>
      <c r="E214" t="s">
        <v>41</v>
      </c>
      <c r="F214" t="s">
        <v>38</v>
      </c>
      <c r="G214" t="s">
        <v>279</v>
      </c>
      <c r="H214" t="s">
        <v>6</v>
      </c>
      <c r="I214" t="s">
        <v>40</v>
      </c>
      <c r="J214">
        <v>23.4892</v>
      </c>
      <c r="K214" t="s">
        <v>3</v>
      </c>
    </row>
    <row r="215" spans="1:11" x14ac:dyDescent="0.3">
      <c r="A215">
        <v>214</v>
      </c>
      <c r="B215">
        <v>163</v>
      </c>
      <c r="C215">
        <v>132</v>
      </c>
      <c r="D215" t="s">
        <v>142</v>
      </c>
      <c r="E215" t="s">
        <v>29</v>
      </c>
      <c r="F215" t="s">
        <v>171</v>
      </c>
      <c r="G215" t="s">
        <v>280</v>
      </c>
      <c r="H215" t="s">
        <v>390</v>
      </c>
      <c r="I215" t="s">
        <v>401</v>
      </c>
      <c r="J215">
        <v>-9.1983999999999995</v>
      </c>
      <c r="K215" t="s">
        <v>3</v>
      </c>
    </row>
    <row r="216" spans="1:11" x14ac:dyDescent="0.3">
      <c r="A216">
        <v>215</v>
      </c>
      <c r="B216">
        <v>4</v>
      </c>
      <c r="C216">
        <v>150</v>
      </c>
      <c r="D216" t="s">
        <v>81</v>
      </c>
      <c r="E216" t="s">
        <v>392</v>
      </c>
      <c r="F216" t="s">
        <v>73</v>
      </c>
      <c r="G216" t="s">
        <v>281</v>
      </c>
      <c r="H216" t="s">
        <v>390</v>
      </c>
      <c r="I216" t="s">
        <v>40</v>
      </c>
      <c r="J216">
        <v>-157.8407</v>
      </c>
      <c r="K216" t="s">
        <v>391</v>
      </c>
    </row>
    <row r="217" spans="1:11" x14ac:dyDescent="0.3">
      <c r="A217">
        <v>216</v>
      </c>
      <c r="B217">
        <v>155</v>
      </c>
      <c r="C217">
        <v>15</v>
      </c>
      <c r="D217" t="s">
        <v>194</v>
      </c>
      <c r="E217" t="s">
        <v>29</v>
      </c>
      <c r="F217" t="s">
        <v>135</v>
      </c>
      <c r="G217" t="s">
        <v>39</v>
      </c>
      <c r="H217" t="s">
        <v>6</v>
      </c>
      <c r="I217" t="s">
        <v>36</v>
      </c>
      <c r="J217">
        <v>91.898099999999999</v>
      </c>
      <c r="K217" t="s">
        <v>5</v>
      </c>
    </row>
    <row r="218" spans="1:11" x14ac:dyDescent="0.3">
      <c r="A218">
        <v>217</v>
      </c>
      <c r="B218">
        <v>48</v>
      </c>
      <c r="C218">
        <v>92</v>
      </c>
      <c r="D218" t="s">
        <v>162</v>
      </c>
      <c r="E218" t="s">
        <v>389</v>
      </c>
      <c r="F218" t="s">
        <v>145</v>
      </c>
      <c r="G218" t="s">
        <v>225</v>
      </c>
      <c r="H218" t="s">
        <v>395</v>
      </c>
      <c r="I218" t="s">
        <v>400</v>
      </c>
      <c r="J218">
        <v>526.75620000000004</v>
      </c>
      <c r="K218" t="s">
        <v>391</v>
      </c>
    </row>
    <row r="219" spans="1:11" x14ac:dyDescent="0.3">
      <c r="A219">
        <v>218</v>
      </c>
      <c r="B219">
        <v>27</v>
      </c>
      <c r="C219">
        <v>83</v>
      </c>
      <c r="D219" t="s">
        <v>158</v>
      </c>
      <c r="E219" t="s">
        <v>29</v>
      </c>
      <c r="F219" t="s">
        <v>82</v>
      </c>
      <c r="G219" t="s">
        <v>282</v>
      </c>
      <c r="H219" t="s">
        <v>6</v>
      </c>
      <c r="I219" t="s">
        <v>55</v>
      </c>
      <c r="J219">
        <v>548.65170000000001</v>
      </c>
      <c r="K219" t="s">
        <v>391</v>
      </c>
    </row>
    <row r="220" spans="1:11" x14ac:dyDescent="0.3">
      <c r="A220">
        <v>219</v>
      </c>
      <c r="B220">
        <v>14</v>
      </c>
      <c r="C220">
        <v>80</v>
      </c>
      <c r="D220" t="s">
        <v>70</v>
      </c>
      <c r="E220" t="s">
        <v>392</v>
      </c>
      <c r="F220" t="s">
        <v>104</v>
      </c>
      <c r="G220" t="s">
        <v>283</v>
      </c>
      <c r="H220" t="s">
        <v>395</v>
      </c>
      <c r="I220" t="s">
        <v>59</v>
      </c>
      <c r="J220">
        <v>588.49030000000005</v>
      </c>
      <c r="K220" t="s">
        <v>391</v>
      </c>
    </row>
    <row r="221" spans="1:11" x14ac:dyDescent="0.3">
      <c r="A221">
        <v>220</v>
      </c>
      <c r="B221">
        <v>171</v>
      </c>
      <c r="C221">
        <v>66</v>
      </c>
      <c r="D221" t="s">
        <v>230</v>
      </c>
      <c r="E221" t="s">
        <v>29</v>
      </c>
      <c r="F221" t="s">
        <v>151</v>
      </c>
      <c r="G221" t="s">
        <v>284</v>
      </c>
      <c r="H221" t="s">
        <v>393</v>
      </c>
      <c r="I221" t="s">
        <v>40</v>
      </c>
      <c r="J221">
        <v>378.3211</v>
      </c>
      <c r="K221" t="s">
        <v>7</v>
      </c>
    </row>
    <row r="222" spans="1:11" x14ac:dyDescent="0.3">
      <c r="A222">
        <v>221</v>
      </c>
      <c r="B222">
        <v>158</v>
      </c>
      <c r="C222">
        <v>83</v>
      </c>
      <c r="D222" t="s">
        <v>99</v>
      </c>
      <c r="E222" t="s">
        <v>29</v>
      </c>
      <c r="F222" t="s">
        <v>104</v>
      </c>
      <c r="G222" t="s">
        <v>206</v>
      </c>
      <c r="I222" t="s">
        <v>32</v>
      </c>
      <c r="J222">
        <v>314.40159999999997</v>
      </c>
      <c r="K222" t="s">
        <v>391</v>
      </c>
    </row>
    <row r="223" spans="1:11" x14ac:dyDescent="0.3">
      <c r="A223">
        <v>222</v>
      </c>
      <c r="B223">
        <v>150</v>
      </c>
      <c r="C223">
        <v>128</v>
      </c>
      <c r="D223" t="s">
        <v>91</v>
      </c>
      <c r="E223" t="s">
        <v>29</v>
      </c>
      <c r="F223" t="s">
        <v>57</v>
      </c>
      <c r="G223" t="s">
        <v>285</v>
      </c>
      <c r="H223" t="s">
        <v>395</v>
      </c>
      <c r="I223" t="s">
        <v>51</v>
      </c>
      <c r="J223">
        <v>626.16200000000003</v>
      </c>
      <c r="K223" t="s">
        <v>7</v>
      </c>
    </row>
    <row r="224" spans="1:11" x14ac:dyDescent="0.3">
      <c r="A224">
        <v>223</v>
      </c>
      <c r="B224">
        <v>112</v>
      </c>
      <c r="C224">
        <v>135</v>
      </c>
      <c r="D224" t="s">
        <v>197</v>
      </c>
      <c r="E224" t="s">
        <v>41</v>
      </c>
      <c r="F224" t="s">
        <v>73</v>
      </c>
      <c r="G224" t="s">
        <v>286</v>
      </c>
      <c r="H224" t="s">
        <v>13</v>
      </c>
      <c r="I224" t="s">
        <v>59</v>
      </c>
      <c r="J224">
        <v>-227.3981</v>
      </c>
      <c r="K224" t="s">
        <v>3</v>
      </c>
    </row>
    <row r="225" spans="1:11" x14ac:dyDescent="0.3">
      <c r="A225">
        <v>224</v>
      </c>
      <c r="B225">
        <v>14</v>
      </c>
      <c r="C225">
        <v>83</v>
      </c>
      <c r="D225" t="s">
        <v>149</v>
      </c>
      <c r="E225" t="s">
        <v>392</v>
      </c>
      <c r="F225" t="s">
        <v>82</v>
      </c>
      <c r="G225" t="s">
        <v>287</v>
      </c>
      <c r="H225" t="s">
        <v>390</v>
      </c>
      <c r="I225" t="s">
        <v>36</v>
      </c>
      <c r="J225">
        <v>-5.4984999999999999</v>
      </c>
      <c r="K225" t="s">
        <v>7</v>
      </c>
    </row>
    <row r="226" spans="1:11" x14ac:dyDescent="0.3">
      <c r="A226">
        <v>225</v>
      </c>
      <c r="B226">
        <v>132</v>
      </c>
      <c r="C226">
        <v>76</v>
      </c>
      <c r="D226" t="s">
        <v>52</v>
      </c>
      <c r="E226" t="s">
        <v>41</v>
      </c>
      <c r="F226" t="s">
        <v>102</v>
      </c>
      <c r="G226" t="s">
        <v>136</v>
      </c>
      <c r="H226" t="s">
        <v>6</v>
      </c>
      <c r="I226" t="s">
        <v>64</v>
      </c>
      <c r="J226">
        <v>459.96199999999999</v>
      </c>
      <c r="K226" t="s">
        <v>5</v>
      </c>
    </row>
    <row r="227" spans="1:11" x14ac:dyDescent="0.3">
      <c r="A227">
        <v>226</v>
      </c>
      <c r="B227">
        <v>80</v>
      </c>
      <c r="C227">
        <v>138</v>
      </c>
      <c r="D227" t="s">
        <v>130</v>
      </c>
      <c r="E227" t="s">
        <v>41</v>
      </c>
      <c r="F227" t="s">
        <v>30</v>
      </c>
      <c r="G227" t="s">
        <v>288</v>
      </c>
      <c r="H227" t="s">
        <v>395</v>
      </c>
      <c r="I227" t="s">
        <v>32</v>
      </c>
      <c r="J227">
        <v>986.57500000000005</v>
      </c>
      <c r="K227" t="s">
        <v>5</v>
      </c>
    </row>
    <row r="228" spans="1:11" x14ac:dyDescent="0.3">
      <c r="A228">
        <v>227</v>
      </c>
      <c r="B228">
        <v>158</v>
      </c>
      <c r="C228">
        <v>83</v>
      </c>
      <c r="D228" t="s">
        <v>120</v>
      </c>
      <c r="E228" t="s">
        <v>389</v>
      </c>
      <c r="F228" t="s">
        <v>145</v>
      </c>
      <c r="G228" t="s">
        <v>278</v>
      </c>
      <c r="H228" t="s">
        <v>13</v>
      </c>
      <c r="I228" t="s">
        <v>47</v>
      </c>
      <c r="J228">
        <v>287.66730000000001</v>
      </c>
      <c r="K228" t="s">
        <v>5</v>
      </c>
    </row>
    <row r="229" spans="1:11" x14ac:dyDescent="0.3">
      <c r="A229">
        <v>228</v>
      </c>
      <c r="B229">
        <v>162</v>
      </c>
      <c r="C229">
        <v>45</v>
      </c>
      <c r="D229" t="s">
        <v>142</v>
      </c>
      <c r="E229" t="s">
        <v>389</v>
      </c>
      <c r="F229" t="s">
        <v>87</v>
      </c>
      <c r="G229" t="s">
        <v>289</v>
      </c>
      <c r="I229" t="s">
        <v>397</v>
      </c>
      <c r="J229">
        <v>-141.47989999999999</v>
      </c>
      <c r="K229" t="s">
        <v>5</v>
      </c>
    </row>
    <row r="230" spans="1:11" x14ac:dyDescent="0.3">
      <c r="A230">
        <v>229</v>
      </c>
      <c r="B230">
        <v>164</v>
      </c>
      <c r="C230">
        <v>97</v>
      </c>
      <c r="D230" t="s">
        <v>89</v>
      </c>
      <c r="E230" t="s">
        <v>389</v>
      </c>
      <c r="F230" t="s">
        <v>61</v>
      </c>
      <c r="G230" t="s">
        <v>39</v>
      </c>
      <c r="H230" t="s">
        <v>390</v>
      </c>
      <c r="I230" t="s">
        <v>59</v>
      </c>
      <c r="J230">
        <v>930.03089999999997</v>
      </c>
      <c r="K230" t="s">
        <v>5</v>
      </c>
    </row>
    <row r="231" spans="1:11" x14ac:dyDescent="0.3">
      <c r="A231">
        <v>230</v>
      </c>
      <c r="B231">
        <v>24</v>
      </c>
      <c r="C231">
        <v>6</v>
      </c>
      <c r="D231" t="s">
        <v>120</v>
      </c>
      <c r="E231" t="s">
        <v>41</v>
      </c>
      <c r="F231" t="s">
        <v>49</v>
      </c>
      <c r="G231" t="s">
        <v>290</v>
      </c>
      <c r="H231" t="s">
        <v>6</v>
      </c>
      <c r="I231" t="s">
        <v>398</v>
      </c>
      <c r="J231">
        <v>932.0027</v>
      </c>
      <c r="K231" t="s">
        <v>391</v>
      </c>
    </row>
    <row r="232" spans="1:11" x14ac:dyDescent="0.3">
      <c r="A232">
        <v>231</v>
      </c>
      <c r="B232">
        <v>169</v>
      </c>
      <c r="C232">
        <v>53</v>
      </c>
      <c r="D232" t="s">
        <v>60</v>
      </c>
      <c r="E232" t="s">
        <v>389</v>
      </c>
      <c r="F232" t="s">
        <v>160</v>
      </c>
      <c r="G232" t="s">
        <v>239</v>
      </c>
      <c r="H232" t="s">
        <v>6</v>
      </c>
      <c r="I232" t="s">
        <v>47</v>
      </c>
      <c r="J232">
        <v>691.3075</v>
      </c>
      <c r="K232" t="s">
        <v>391</v>
      </c>
    </row>
    <row r="233" spans="1:11" x14ac:dyDescent="0.3">
      <c r="A233">
        <v>232</v>
      </c>
      <c r="B233">
        <v>71</v>
      </c>
      <c r="C233">
        <v>72</v>
      </c>
      <c r="D233" t="s">
        <v>70</v>
      </c>
      <c r="E233" t="s">
        <v>41</v>
      </c>
      <c r="F233" t="s">
        <v>30</v>
      </c>
      <c r="G233" t="s">
        <v>291</v>
      </c>
      <c r="H233" t="s">
        <v>390</v>
      </c>
      <c r="I233" t="s">
        <v>36</v>
      </c>
      <c r="J233">
        <v>473.59789999999998</v>
      </c>
      <c r="K233" t="s">
        <v>7</v>
      </c>
    </row>
    <row r="234" spans="1:11" x14ac:dyDescent="0.3">
      <c r="A234">
        <v>233</v>
      </c>
      <c r="B234">
        <v>146</v>
      </c>
      <c r="C234">
        <v>85</v>
      </c>
      <c r="D234" t="s">
        <v>109</v>
      </c>
      <c r="E234" t="s">
        <v>41</v>
      </c>
      <c r="F234" t="s">
        <v>118</v>
      </c>
      <c r="G234" t="s">
        <v>222</v>
      </c>
      <c r="I234" t="s">
        <v>400</v>
      </c>
      <c r="J234">
        <v>663.98209999999995</v>
      </c>
      <c r="K234" t="s">
        <v>3</v>
      </c>
    </row>
    <row r="235" spans="1:11" x14ac:dyDescent="0.3">
      <c r="A235">
        <v>234</v>
      </c>
      <c r="B235">
        <v>155</v>
      </c>
      <c r="C235">
        <v>46</v>
      </c>
      <c r="D235" t="s">
        <v>115</v>
      </c>
      <c r="E235" t="s">
        <v>29</v>
      </c>
      <c r="F235" t="s">
        <v>118</v>
      </c>
      <c r="G235" t="s">
        <v>136</v>
      </c>
      <c r="I235" t="s">
        <v>47</v>
      </c>
      <c r="J235">
        <v>-1.9833000000000001</v>
      </c>
      <c r="K235" t="s">
        <v>5</v>
      </c>
    </row>
    <row r="236" spans="1:11" x14ac:dyDescent="0.3">
      <c r="A236">
        <v>235</v>
      </c>
      <c r="B236">
        <v>200</v>
      </c>
      <c r="C236">
        <v>129</v>
      </c>
      <c r="D236" t="s">
        <v>154</v>
      </c>
      <c r="E236" t="s">
        <v>41</v>
      </c>
      <c r="F236" t="s">
        <v>53</v>
      </c>
      <c r="G236" t="s">
        <v>67</v>
      </c>
      <c r="H236" t="s">
        <v>6</v>
      </c>
      <c r="I236" t="s">
        <v>396</v>
      </c>
      <c r="J236">
        <v>666.29859999999996</v>
      </c>
      <c r="K236" t="s">
        <v>3</v>
      </c>
    </row>
    <row r="237" spans="1:11" x14ac:dyDescent="0.3">
      <c r="A237">
        <v>236</v>
      </c>
      <c r="B237">
        <v>6</v>
      </c>
      <c r="C237">
        <v>48</v>
      </c>
      <c r="D237" t="s">
        <v>176</v>
      </c>
      <c r="E237" t="s">
        <v>392</v>
      </c>
      <c r="F237" t="s">
        <v>107</v>
      </c>
      <c r="G237" t="s">
        <v>292</v>
      </c>
      <c r="I237" t="s">
        <v>59</v>
      </c>
      <c r="J237">
        <v>235.96690000000001</v>
      </c>
      <c r="K237" t="s">
        <v>7</v>
      </c>
    </row>
    <row r="238" spans="1:11" x14ac:dyDescent="0.3">
      <c r="A238">
        <v>237</v>
      </c>
      <c r="B238">
        <v>55</v>
      </c>
      <c r="C238">
        <v>10</v>
      </c>
      <c r="D238" t="s">
        <v>91</v>
      </c>
      <c r="E238" t="s">
        <v>29</v>
      </c>
      <c r="F238" t="s">
        <v>73</v>
      </c>
      <c r="G238" t="s">
        <v>173</v>
      </c>
      <c r="H238" t="s">
        <v>13</v>
      </c>
      <c r="I238" t="s">
        <v>397</v>
      </c>
      <c r="J238">
        <v>58.4985</v>
      </c>
      <c r="K238" t="s">
        <v>3</v>
      </c>
    </row>
    <row r="239" spans="1:11" x14ac:dyDescent="0.3">
      <c r="A239">
        <v>238</v>
      </c>
      <c r="B239">
        <v>130</v>
      </c>
      <c r="C239">
        <v>134</v>
      </c>
      <c r="D239" t="s">
        <v>68</v>
      </c>
      <c r="E239" t="s">
        <v>389</v>
      </c>
      <c r="F239" t="s">
        <v>145</v>
      </c>
      <c r="G239" t="s">
        <v>72</v>
      </c>
      <c r="H239" t="s">
        <v>13</v>
      </c>
      <c r="I239" t="s">
        <v>402</v>
      </c>
      <c r="J239">
        <v>368.49310000000003</v>
      </c>
      <c r="K239" t="s">
        <v>7</v>
      </c>
    </row>
    <row r="240" spans="1:11" x14ac:dyDescent="0.3">
      <c r="A240">
        <v>239</v>
      </c>
      <c r="B240">
        <v>112</v>
      </c>
      <c r="C240">
        <v>57</v>
      </c>
      <c r="D240" t="s">
        <v>113</v>
      </c>
      <c r="E240" t="s">
        <v>29</v>
      </c>
      <c r="F240" t="s">
        <v>45</v>
      </c>
      <c r="G240" t="s">
        <v>221</v>
      </c>
      <c r="H240" t="s">
        <v>14</v>
      </c>
      <c r="I240" t="s">
        <v>59</v>
      </c>
      <c r="J240">
        <v>301.93860000000001</v>
      </c>
      <c r="K240" t="s">
        <v>5</v>
      </c>
    </row>
    <row r="241" spans="1:11" x14ac:dyDescent="0.3">
      <c r="A241">
        <v>240</v>
      </c>
      <c r="B241">
        <v>199</v>
      </c>
      <c r="C241">
        <v>144</v>
      </c>
      <c r="D241" t="s">
        <v>78</v>
      </c>
      <c r="E241" t="s">
        <v>41</v>
      </c>
      <c r="F241" t="s">
        <v>38</v>
      </c>
      <c r="G241" t="s">
        <v>293</v>
      </c>
      <c r="I241" t="s">
        <v>51</v>
      </c>
      <c r="J241">
        <v>604.56859999999995</v>
      </c>
      <c r="K241" t="s">
        <v>3</v>
      </c>
    </row>
    <row r="242" spans="1:11" x14ac:dyDescent="0.3">
      <c r="A242">
        <v>241</v>
      </c>
      <c r="B242">
        <v>37</v>
      </c>
      <c r="C242">
        <v>23</v>
      </c>
      <c r="D242" t="s">
        <v>93</v>
      </c>
      <c r="E242" t="s">
        <v>41</v>
      </c>
      <c r="F242" t="s">
        <v>61</v>
      </c>
      <c r="G242" t="s">
        <v>271</v>
      </c>
      <c r="H242" t="s">
        <v>395</v>
      </c>
      <c r="I242" t="s">
        <v>401</v>
      </c>
      <c r="J242">
        <v>706.2912</v>
      </c>
      <c r="K242" t="s">
        <v>3</v>
      </c>
    </row>
    <row r="243" spans="1:11" x14ac:dyDescent="0.3">
      <c r="A243">
        <v>242</v>
      </c>
      <c r="B243">
        <v>92</v>
      </c>
      <c r="C243">
        <v>23</v>
      </c>
      <c r="D243" t="s">
        <v>84</v>
      </c>
      <c r="E243" t="s">
        <v>389</v>
      </c>
      <c r="F243" t="s">
        <v>71</v>
      </c>
      <c r="G243" t="s">
        <v>294</v>
      </c>
      <c r="H243" t="s">
        <v>395</v>
      </c>
      <c r="I243" t="s">
        <v>47</v>
      </c>
      <c r="J243">
        <v>989.38890000000004</v>
      </c>
      <c r="K243" t="s">
        <v>3</v>
      </c>
    </row>
    <row r="244" spans="1:11" x14ac:dyDescent="0.3">
      <c r="A244">
        <v>243</v>
      </c>
      <c r="B244">
        <v>159</v>
      </c>
      <c r="C244">
        <v>108</v>
      </c>
      <c r="D244" t="s">
        <v>113</v>
      </c>
      <c r="E244" t="s">
        <v>29</v>
      </c>
      <c r="F244" t="s">
        <v>131</v>
      </c>
      <c r="G244" t="s">
        <v>295</v>
      </c>
      <c r="H244" t="s">
        <v>395</v>
      </c>
      <c r="I244" t="s">
        <v>51</v>
      </c>
      <c r="J244">
        <v>402.7056</v>
      </c>
      <c r="K244" t="s">
        <v>3</v>
      </c>
    </row>
    <row r="245" spans="1:11" x14ac:dyDescent="0.3">
      <c r="A245">
        <v>244</v>
      </c>
      <c r="B245">
        <v>89</v>
      </c>
      <c r="C245">
        <v>100</v>
      </c>
      <c r="D245" t="s">
        <v>176</v>
      </c>
      <c r="E245" t="s">
        <v>392</v>
      </c>
      <c r="F245" t="s">
        <v>102</v>
      </c>
      <c r="G245" t="s">
        <v>169</v>
      </c>
      <c r="H245" t="s">
        <v>6</v>
      </c>
      <c r="I245" t="s">
        <v>51</v>
      </c>
      <c r="J245">
        <v>306.5258</v>
      </c>
      <c r="K245" t="s">
        <v>3</v>
      </c>
    </row>
    <row r="246" spans="1:11" x14ac:dyDescent="0.3">
      <c r="A246">
        <v>245</v>
      </c>
      <c r="B246">
        <v>188</v>
      </c>
      <c r="C246">
        <v>88</v>
      </c>
      <c r="D246" t="s">
        <v>96</v>
      </c>
      <c r="E246" t="s">
        <v>29</v>
      </c>
      <c r="F246" t="s">
        <v>97</v>
      </c>
      <c r="G246" t="s">
        <v>296</v>
      </c>
      <c r="H246" t="s">
        <v>14</v>
      </c>
      <c r="I246" t="s">
        <v>55</v>
      </c>
      <c r="J246">
        <v>494.36079999999998</v>
      </c>
      <c r="K246" t="s">
        <v>7</v>
      </c>
    </row>
    <row r="247" spans="1:11" x14ac:dyDescent="0.3">
      <c r="A247">
        <v>246</v>
      </c>
      <c r="B247">
        <v>143</v>
      </c>
      <c r="C247">
        <v>79</v>
      </c>
      <c r="D247" t="s">
        <v>176</v>
      </c>
      <c r="E247" t="s">
        <v>29</v>
      </c>
      <c r="F247" t="s">
        <v>116</v>
      </c>
      <c r="G247" t="s">
        <v>167</v>
      </c>
      <c r="H247" t="s">
        <v>390</v>
      </c>
      <c r="I247" t="s">
        <v>47</v>
      </c>
      <c r="J247">
        <v>-190.655</v>
      </c>
      <c r="K247" t="s">
        <v>391</v>
      </c>
    </row>
    <row r="248" spans="1:11" x14ac:dyDescent="0.3">
      <c r="A248">
        <v>247</v>
      </c>
      <c r="B248">
        <v>1</v>
      </c>
      <c r="C248">
        <v>67</v>
      </c>
      <c r="D248" t="s">
        <v>142</v>
      </c>
      <c r="E248" t="s">
        <v>389</v>
      </c>
      <c r="F248" t="s">
        <v>42</v>
      </c>
      <c r="G248" t="s">
        <v>297</v>
      </c>
      <c r="H248" t="s">
        <v>13</v>
      </c>
      <c r="I248" t="s">
        <v>51</v>
      </c>
      <c r="J248">
        <v>20.9849</v>
      </c>
      <c r="K248" t="s">
        <v>391</v>
      </c>
    </row>
    <row r="249" spans="1:11" x14ac:dyDescent="0.3">
      <c r="A249">
        <v>248</v>
      </c>
      <c r="B249">
        <v>198</v>
      </c>
      <c r="C249">
        <v>68</v>
      </c>
      <c r="D249" t="s">
        <v>188</v>
      </c>
      <c r="E249" t="s">
        <v>29</v>
      </c>
      <c r="F249" t="s">
        <v>42</v>
      </c>
      <c r="G249" t="s">
        <v>247</v>
      </c>
      <c r="H249" t="s">
        <v>390</v>
      </c>
      <c r="I249" t="s">
        <v>64</v>
      </c>
      <c r="J249">
        <v>529.94899999999996</v>
      </c>
      <c r="K249" t="s">
        <v>7</v>
      </c>
    </row>
    <row r="250" spans="1:11" x14ac:dyDescent="0.3">
      <c r="A250">
        <v>249</v>
      </c>
      <c r="B250">
        <v>3</v>
      </c>
      <c r="C250">
        <v>124</v>
      </c>
      <c r="D250" t="s">
        <v>139</v>
      </c>
      <c r="E250" t="s">
        <v>392</v>
      </c>
      <c r="F250" t="s">
        <v>57</v>
      </c>
      <c r="G250" t="s">
        <v>298</v>
      </c>
      <c r="H250" t="s">
        <v>395</v>
      </c>
      <c r="I250" t="s">
        <v>398</v>
      </c>
      <c r="J250">
        <v>-12.8192</v>
      </c>
      <c r="K250" t="s">
        <v>7</v>
      </c>
    </row>
    <row r="251" spans="1:11" x14ac:dyDescent="0.3">
      <c r="A251">
        <v>250</v>
      </c>
      <c r="B251">
        <v>95</v>
      </c>
      <c r="C251">
        <v>119</v>
      </c>
      <c r="D251" t="s">
        <v>217</v>
      </c>
      <c r="E251" t="s">
        <v>389</v>
      </c>
      <c r="F251" t="s">
        <v>49</v>
      </c>
      <c r="G251" t="s">
        <v>170</v>
      </c>
      <c r="H251" t="s">
        <v>14</v>
      </c>
      <c r="I251" t="s">
        <v>399</v>
      </c>
      <c r="J251">
        <v>709.1848</v>
      </c>
      <c r="K251" t="s">
        <v>3</v>
      </c>
    </row>
    <row r="252" spans="1:11" x14ac:dyDescent="0.3">
      <c r="A252">
        <v>251</v>
      </c>
      <c r="B252">
        <v>135</v>
      </c>
      <c r="C252">
        <v>93</v>
      </c>
      <c r="D252" t="s">
        <v>48</v>
      </c>
      <c r="E252" t="s">
        <v>389</v>
      </c>
      <c r="F252" t="s">
        <v>76</v>
      </c>
      <c r="G252" t="s">
        <v>299</v>
      </c>
      <c r="H252" t="s">
        <v>13</v>
      </c>
      <c r="I252" t="s">
        <v>32</v>
      </c>
      <c r="J252">
        <v>937.99689999999998</v>
      </c>
      <c r="K252" t="s">
        <v>5</v>
      </c>
    </row>
    <row r="253" spans="1:11" x14ac:dyDescent="0.3">
      <c r="A253">
        <v>252</v>
      </c>
      <c r="B253">
        <v>167</v>
      </c>
      <c r="C253">
        <v>29</v>
      </c>
      <c r="D253" t="s">
        <v>84</v>
      </c>
      <c r="E253" t="s">
        <v>41</v>
      </c>
      <c r="F253" t="s">
        <v>107</v>
      </c>
      <c r="G253" t="s">
        <v>195</v>
      </c>
      <c r="H253" t="s">
        <v>390</v>
      </c>
      <c r="I253" t="s">
        <v>40</v>
      </c>
      <c r="J253">
        <v>134.14410000000001</v>
      </c>
      <c r="K253" t="s">
        <v>391</v>
      </c>
    </row>
    <row r="254" spans="1:11" x14ac:dyDescent="0.3">
      <c r="A254">
        <v>253</v>
      </c>
      <c r="B254">
        <v>45</v>
      </c>
      <c r="C254">
        <v>75</v>
      </c>
      <c r="D254" t="s">
        <v>191</v>
      </c>
      <c r="E254" t="s">
        <v>389</v>
      </c>
      <c r="F254" t="s">
        <v>160</v>
      </c>
      <c r="G254" t="s">
        <v>300</v>
      </c>
      <c r="H254" t="s">
        <v>395</v>
      </c>
      <c r="I254" t="s">
        <v>59</v>
      </c>
      <c r="J254">
        <v>55.731499999999997</v>
      </c>
      <c r="K254" t="s">
        <v>3</v>
      </c>
    </row>
    <row r="255" spans="1:11" x14ac:dyDescent="0.3">
      <c r="A255">
        <v>254</v>
      </c>
      <c r="B255">
        <v>68</v>
      </c>
      <c r="C255">
        <v>96</v>
      </c>
      <c r="D255" t="s">
        <v>147</v>
      </c>
      <c r="E255" t="s">
        <v>29</v>
      </c>
      <c r="F255" t="s">
        <v>151</v>
      </c>
      <c r="G255" t="s">
        <v>227</v>
      </c>
      <c r="H255" t="s">
        <v>395</v>
      </c>
      <c r="I255" t="s">
        <v>399</v>
      </c>
      <c r="J255">
        <v>399.0763</v>
      </c>
      <c r="K255" t="s">
        <v>7</v>
      </c>
    </row>
    <row r="256" spans="1:11" x14ac:dyDescent="0.3">
      <c r="A256">
        <v>255</v>
      </c>
      <c r="B256">
        <v>21</v>
      </c>
      <c r="C256">
        <v>70</v>
      </c>
      <c r="D256" t="s">
        <v>109</v>
      </c>
      <c r="E256" t="s">
        <v>389</v>
      </c>
      <c r="F256" t="s">
        <v>107</v>
      </c>
      <c r="G256" t="s">
        <v>257</v>
      </c>
      <c r="H256" t="s">
        <v>14</v>
      </c>
      <c r="I256" t="s">
        <v>47</v>
      </c>
      <c r="J256">
        <v>848.01750000000004</v>
      </c>
      <c r="K256" t="s">
        <v>3</v>
      </c>
    </row>
    <row r="257" spans="1:11" x14ac:dyDescent="0.3">
      <c r="A257">
        <v>256</v>
      </c>
      <c r="B257">
        <v>22</v>
      </c>
      <c r="C257">
        <v>92</v>
      </c>
      <c r="D257" t="s">
        <v>183</v>
      </c>
      <c r="E257" t="s">
        <v>29</v>
      </c>
      <c r="F257" t="s">
        <v>82</v>
      </c>
      <c r="G257" t="s">
        <v>301</v>
      </c>
      <c r="H257" t="s">
        <v>393</v>
      </c>
      <c r="I257" t="s">
        <v>55</v>
      </c>
      <c r="J257">
        <v>703.55240000000003</v>
      </c>
      <c r="K257" t="s">
        <v>5</v>
      </c>
    </row>
    <row r="258" spans="1:11" x14ac:dyDescent="0.3">
      <c r="A258">
        <v>257</v>
      </c>
      <c r="B258">
        <v>1</v>
      </c>
      <c r="C258">
        <v>12</v>
      </c>
      <c r="D258" t="s">
        <v>214</v>
      </c>
      <c r="E258" t="s">
        <v>29</v>
      </c>
      <c r="F258" t="s">
        <v>53</v>
      </c>
      <c r="G258" t="s">
        <v>216</v>
      </c>
      <c r="H258" t="s">
        <v>390</v>
      </c>
      <c r="I258" t="s">
        <v>40</v>
      </c>
      <c r="J258">
        <v>768.99019999999996</v>
      </c>
      <c r="K258" t="s">
        <v>3</v>
      </c>
    </row>
    <row r="259" spans="1:11" x14ac:dyDescent="0.3">
      <c r="A259">
        <v>258</v>
      </c>
      <c r="B259">
        <v>85</v>
      </c>
      <c r="C259">
        <v>143</v>
      </c>
      <c r="D259" t="s">
        <v>211</v>
      </c>
      <c r="E259" t="s">
        <v>29</v>
      </c>
      <c r="F259" t="s">
        <v>82</v>
      </c>
      <c r="G259" t="s">
        <v>302</v>
      </c>
      <c r="H259" t="s">
        <v>13</v>
      </c>
      <c r="I259" t="s">
        <v>59</v>
      </c>
      <c r="J259">
        <v>204.3784</v>
      </c>
      <c r="K259" t="s">
        <v>5</v>
      </c>
    </row>
    <row r="260" spans="1:11" x14ac:dyDescent="0.3">
      <c r="A260">
        <v>259</v>
      </c>
      <c r="B260">
        <v>9</v>
      </c>
      <c r="C260">
        <v>135</v>
      </c>
      <c r="D260" t="s">
        <v>84</v>
      </c>
      <c r="E260" t="s">
        <v>41</v>
      </c>
      <c r="F260" t="s">
        <v>160</v>
      </c>
      <c r="G260" t="s">
        <v>303</v>
      </c>
      <c r="I260" t="s">
        <v>400</v>
      </c>
      <c r="J260">
        <v>981.23979999999995</v>
      </c>
      <c r="K260" t="s">
        <v>7</v>
      </c>
    </row>
    <row r="261" spans="1:11" x14ac:dyDescent="0.3">
      <c r="A261">
        <v>260</v>
      </c>
      <c r="B261">
        <v>64</v>
      </c>
      <c r="C261">
        <v>114</v>
      </c>
      <c r="D261" t="s">
        <v>149</v>
      </c>
      <c r="E261" t="s">
        <v>389</v>
      </c>
      <c r="F261" t="s">
        <v>76</v>
      </c>
      <c r="G261" t="s">
        <v>304</v>
      </c>
      <c r="I261" t="s">
        <v>397</v>
      </c>
      <c r="J261">
        <v>756.8836</v>
      </c>
      <c r="K261" t="s">
        <v>3</v>
      </c>
    </row>
    <row r="262" spans="1:11" x14ac:dyDescent="0.3">
      <c r="A262">
        <v>261</v>
      </c>
      <c r="B262">
        <v>200</v>
      </c>
      <c r="C262">
        <v>18</v>
      </c>
      <c r="D262" t="s">
        <v>211</v>
      </c>
      <c r="E262" t="s">
        <v>392</v>
      </c>
      <c r="F262" t="s">
        <v>61</v>
      </c>
      <c r="G262" t="s">
        <v>305</v>
      </c>
      <c r="I262" t="s">
        <v>396</v>
      </c>
      <c r="J262">
        <v>61.8001</v>
      </c>
      <c r="K262" t="s">
        <v>391</v>
      </c>
    </row>
    <row r="263" spans="1:11" x14ac:dyDescent="0.3">
      <c r="A263">
        <v>262</v>
      </c>
      <c r="B263">
        <v>127</v>
      </c>
      <c r="C263">
        <v>68</v>
      </c>
      <c r="D263" t="s">
        <v>52</v>
      </c>
      <c r="E263" t="s">
        <v>41</v>
      </c>
      <c r="F263" t="s">
        <v>76</v>
      </c>
      <c r="G263" t="s">
        <v>133</v>
      </c>
      <c r="H263" t="s">
        <v>6</v>
      </c>
      <c r="I263" t="s">
        <v>402</v>
      </c>
      <c r="J263">
        <v>702.53989999999999</v>
      </c>
      <c r="K263" t="s">
        <v>391</v>
      </c>
    </row>
    <row r="264" spans="1:11" x14ac:dyDescent="0.3">
      <c r="A264">
        <v>263</v>
      </c>
      <c r="B264">
        <v>87</v>
      </c>
      <c r="C264">
        <v>31</v>
      </c>
      <c r="D264" t="s">
        <v>81</v>
      </c>
      <c r="E264" t="s">
        <v>389</v>
      </c>
      <c r="F264" t="s">
        <v>145</v>
      </c>
      <c r="G264" t="s">
        <v>306</v>
      </c>
      <c r="H264" t="s">
        <v>395</v>
      </c>
      <c r="I264" t="s">
        <v>64</v>
      </c>
      <c r="J264">
        <v>-7.5829000000000004</v>
      </c>
      <c r="K264" t="s">
        <v>5</v>
      </c>
    </row>
    <row r="265" spans="1:11" x14ac:dyDescent="0.3">
      <c r="A265">
        <v>264</v>
      </c>
      <c r="B265">
        <v>54</v>
      </c>
      <c r="C265">
        <v>15</v>
      </c>
      <c r="D265" t="s">
        <v>91</v>
      </c>
      <c r="E265" t="s">
        <v>392</v>
      </c>
      <c r="F265" t="s">
        <v>171</v>
      </c>
      <c r="G265" t="s">
        <v>307</v>
      </c>
      <c r="H265" t="s">
        <v>390</v>
      </c>
      <c r="I265" t="s">
        <v>32</v>
      </c>
      <c r="J265">
        <v>151.87129999999999</v>
      </c>
      <c r="K265" t="s">
        <v>3</v>
      </c>
    </row>
    <row r="266" spans="1:11" x14ac:dyDescent="0.3">
      <c r="A266">
        <v>265</v>
      </c>
      <c r="B266">
        <v>195</v>
      </c>
      <c r="C266">
        <v>49</v>
      </c>
      <c r="D266" t="s">
        <v>93</v>
      </c>
      <c r="E266" t="s">
        <v>392</v>
      </c>
      <c r="F266" t="s">
        <v>34</v>
      </c>
      <c r="G266" t="s">
        <v>308</v>
      </c>
      <c r="H266" t="s">
        <v>390</v>
      </c>
      <c r="I266" t="s">
        <v>32</v>
      </c>
      <c r="J266">
        <v>3.4083999999999999</v>
      </c>
      <c r="K266" t="s">
        <v>3</v>
      </c>
    </row>
    <row r="267" spans="1:11" x14ac:dyDescent="0.3">
      <c r="A267">
        <v>266</v>
      </c>
      <c r="B267">
        <v>40</v>
      </c>
      <c r="C267">
        <v>34</v>
      </c>
      <c r="D267" t="s">
        <v>147</v>
      </c>
      <c r="E267" t="s">
        <v>392</v>
      </c>
      <c r="F267" t="s">
        <v>71</v>
      </c>
      <c r="G267" t="s">
        <v>309</v>
      </c>
      <c r="H267" t="s">
        <v>393</v>
      </c>
      <c r="I267" t="s">
        <v>36</v>
      </c>
      <c r="J267">
        <v>941.65480000000002</v>
      </c>
      <c r="K267" t="s">
        <v>5</v>
      </c>
    </row>
    <row r="268" spans="1:11" x14ac:dyDescent="0.3">
      <c r="A268">
        <v>267</v>
      </c>
      <c r="B268">
        <v>93</v>
      </c>
      <c r="C268">
        <v>121</v>
      </c>
      <c r="D268" t="s">
        <v>126</v>
      </c>
      <c r="E268" t="s">
        <v>389</v>
      </c>
      <c r="F268" t="s">
        <v>85</v>
      </c>
      <c r="G268" t="s">
        <v>180</v>
      </c>
      <c r="H268" t="s">
        <v>395</v>
      </c>
      <c r="I268" t="s">
        <v>32</v>
      </c>
      <c r="J268">
        <v>210.39160000000001</v>
      </c>
      <c r="K268" t="s">
        <v>391</v>
      </c>
    </row>
    <row r="269" spans="1:11" x14ac:dyDescent="0.3">
      <c r="A269">
        <v>268</v>
      </c>
      <c r="B269">
        <v>185</v>
      </c>
      <c r="C269">
        <v>116</v>
      </c>
      <c r="D269" t="s">
        <v>154</v>
      </c>
      <c r="E269" t="s">
        <v>389</v>
      </c>
      <c r="F269" t="s">
        <v>53</v>
      </c>
      <c r="G269" t="s">
        <v>248</v>
      </c>
      <c r="I269" t="s">
        <v>32</v>
      </c>
      <c r="J269">
        <v>500.19130000000001</v>
      </c>
      <c r="K269" t="s">
        <v>391</v>
      </c>
    </row>
    <row r="270" spans="1:11" x14ac:dyDescent="0.3">
      <c r="A270">
        <v>269</v>
      </c>
      <c r="B270">
        <v>131</v>
      </c>
      <c r="C270">
        <v>89</v>
      </c>
      <c r="D270" t="s">
        <v>84</v>
      </c>
      <c r="E270" t="s">
        <v>389</v>
      </c>
      <c r="F270" t="s">
        <v>116</v>
      </c>
      <c r="G270" t="s">
        <v>173</v>
      </c>
      <c r="H270" t="s">
        <v>393</v>
      </c>
      <c r="I270" t="s">
        <v>32</v>
      </c>
      <c r="J270">
        <v>623.41480000000001</v>
      </c>
      <c r="K270" t="s">
        <v>3</v>
      </c>
    </row>
    <row r="271" spans="1:11" x14ac:dyDescent="0.3">
      <c r="A271">
        <v>270</v>
      </c>
      <c r="B271">
        <v>31</v>
      </c>
      <c r="C271">
        <v>38</v>
      </c>
      <c r="D271" t="s">
        <v>70</v>
      </c>
      <c r="E271" t="s">
        <v>392</v>
      </c>
      <c r="F271" t="s">
        <v>57</v>
      </c>
      <c r="G271" t="s">
        <v>310</v>
      </c>
      <c r="H271" t="s">
        <v>393</v>
      </c>
      <c r="I271" t="s">
        <v>47</v>
      </c>
      <c r="J271">
        <v>835.18650000000002</v>
      </c>
      <c r="K271" t="s">
        <v>7</v>
      </c>
    </row>
    <row r="272" spans="1:11" x14ac:dyDescent="0.3">
      <c r="A272">
        <v>271</v>
      </c>
      <c r="B272">
        <v>56</v>
      </c>
      <c r="C272">
        <v>71</v>
      </c>
      <c r="D272" t="s">
        <v>220</v>
      </c>
      <c r="E272" t="s">
        <v>389</v>
      </c>
      <c r="F272" t="s">
        <v>42</v>
      </c>
      <c r="G272" t="s">
        <v>290</v>
      </c>
      <c r="H272" t="s">
        <v>13</v>
      </c>
      <c r="I272" t="s">
        <v>36</v>
      </c>
      <c r="J272">
        <v>652.3578</v>
      </c>
      <c r="K272" t="s">
        <v>7</v>
      </c>
    </row>
    <row r="273" spans="1:11" x14ac:dyDescent="0.3">
      <c r="A273">
        <v>272</v>
      </c>
      <c r="B273">
        <v>135</v>
      </c>
      <c r="C273">
        <v>135</v>
      </c>
      <c r="D273" t="s">
        <v>244</v>
      </c>
      <c r="E273" t="s">
        <v>392</v>
      </c>
      <c r="F273" t="s">
        <v>45</v>
      </c>
      <c r="G273" t="s">
        <v>260</v>
      </c>
      <c r="H273" t="s">
        <v>13</v>
      </c>
      <c r="I273" t="s">
        <v>402</v>
      </c>
      <c r="J273">
        <v>833.65060000000005</v>
      </c>
      <c r="K273" t="s">
        <v>391</v>
      </c>
    </row>
    <row r="274" spans="1:11" x14ac:dyDescent="0.3">
      <c r="A274">
        <v>273</v>
      </c>
      <c r="B274">
        <v>19</v>
      </c>
      <c r="C274">
        <v>61</v>
      </c>
      <c r="D274" t="s">
        <v>179</v>
      </c>
      <c r="E274" t="s">
        <v>29</v>
      </c>
      <c r="F274" t="s">
        <v>171</v>
      </c>
      <c r="G274" t="s">
        <v>132</v>
      </c>
      <c r="H274" t="s">
        <v>390</v>
      </c>
      <c r="I274" t="s">
        <v>36</v>
      </c>
      <c r="J274">
        <v>864.29219999999998</v>
      </c>
      <c r="K274" t="s">
        <v>3</v>
      </c>
    </row>
    <row r="275" spans="1:11" x14ac:dyDescent="0.3">
      <c r="A275">
        <v>274</v>
      </c>
      <c r="B275">
        <v>194</v>
      </c>
      <c r="C275">
        <v>149</v>
      </c>
      <c r="D275" t="s">
        <v>89</v>
      </c>
      <c r="E275" t="s">
        <v>29</v>
      </c>
      <c r="F275" t="s">
        <v>57</v>
      </c>
      <c r="G275" t="s">
        <v>311</v>
      </c>
      <c r="H275" t="s">
        <v>393</v>
      </c>
      <c r="I275" t="s">
        <v>51</v>
      </c>
      <c r="J275">
        <v>937.99369999999999</v>
      </c>
      <c r="K275" t="s">
        <v>391</v>
      </c>
    </row>
    <row r="276" spans="1:11" x14ac:dyDescent="0.3">
      <c r="A276">
        <v>275</v>
      </c>
      <c r="B276">
        <v>107</v>
      </c>
      <c r="C276">
        <v>12</v>
      </c>
      <c r="D276" t="s">
        <v>244</v>
      </c>
      <c r="E276" t="s">
        <v>29</v>
      </c>
      <c r="F276" t="s">
        <v>116</v>
      </c>
      <c r="G276" t="s">
        <v>153</v>
      </c>
      <c r="H276" t="s">
        <v>395</v>
      </c>
      <c r="I276" t="s">
        <v>401</v>
      </c>
      <c r="J276">
        <v>-190.23249999999999</v>
      </c>
      <c r="K276" t="s">
        <v>5</v>
      </c>
    </row>
    <row r="277" spans="1:11" x14ac:dyDescent="0.3">
      <c r="A277">
        <v>276</v>
      </c>
      <c r="B277">
        <v>159</v>
      </c>
      <c r="C277">
        <v>64</v>
      </c>
      <c r="D277" t="s">
        <v>312</v>
      </c>
      <c r="E277" t="s">
        <v>29</v>
      </c>
      <c r="F277" t="s">
        <v>104</v>
      </c>
      <c r="G277" t="s">
        <v>313</v>
      </c>
      <c r="H277" t="s">
        <v>13</v>
      </c>
      <c r="I277" t="s">
        <v>47</v>
      </c>
      <c r="J277">
        <v>547.42399999999998</v>
      </c>
      <c r="K277" t="s">
        <v>7</v>
      </c>
    </row>
    <row r="278" spans="1:11" x14ac:dyDescent="0.3">
      <c r="A278">
        <v>277</v>
      </c>
      <c r="B278">
        <v>147</v>
      </c>
      <c r="C278">
        <v>75</v>
      </c>
      <c r="D278" t="s">
        <v>120</v>
      </c>
      <c r="E278" t="s">
        <v>41</v>
      </c>
      <c r="F278" t="s">
        <v>61</v>
      </c>
      <c r="G278" t="s">
        <v>215</v>
      </c>
      <c r="H278" t="s">
        <v>14</v>
      </c>
      <c r="I278" t="s">
        <v>394</v>
      </c>
      <c r="J278">
        <v>599.75210000000004</v>
      </c>
      <c r="K278" t="s">
        <v>7</v>
      </c>
    </row>
    <row r="279" spans="1:11" x14ac:dyDescent="0.3">
      <c r="A279">
        <v>278</v>
      </c>
      <c r="B279">
        <v>84</v>
      </c>
      <c r="C279">
        <v>150</v>
      </c>
      <c r="D279" t="s">
        <v>312</v>
      </c>
      <c r="E279" t="s">
        <v>41</v>
      </c>
      <c r="F279" t="s">
        <v>87</v>
      </c>
      <c r="G279" t="s">
        <v>314</v>
      </c>
      <c r="H279" t="s">
        <v>390</v>
      </c>
      <c r="I279" t="s">
        <v>402</v>
      </c>
      <c r="J279">
        <v>201.33260000000001</v>
      </c>
      <c r="K279" t="s">
        <v>391</v>
      </c>
    </row>
    <row r="280" spans="1:11" x14ac:dyDescent="0.3">
      <c r="A280">
        <v>279</v>
      </c>
      <c r="B280">
        <v>192</v>
      </c>
      <c r="C280">
        <v>33</v>
      </c>
      <c r="D280" t="s">
        <v>154</v>
      </c>
      <c r="E280" t="s">
        <v>389</v>
      </c>
      <c r="F280" t="s">
        <v>116</v>
      </c>
      <c r="G280" t="s">
        <v>315</v>
      </c>
      <c r="H280" t="s">
        <v>393</v>
      </c>
      <c r="I280" t="s">
        <v>32</v>
      </c>
      <c r="J280">
        <v>796.90470000000005</v>
      </c>
      <c r="K280" t="s">
        <v>7</v>
      </c>
    </row>
    <row r="281" spans="1:11" x14ac:dyDescent="0.3">
      <c r="A281">
        <v>280</v>
      </c>
      <c r="B281">
        <v>190</v>
      </c>
      <c r="C281">
        <v>96</v>
      </c>
      <c r="D281" t="s">
        <v>179</v>
      </c>
      <c r="E281" t="s">
        <v>29</v>
      </c>
      <c r="F281" t="s">
        <v>45</v>
      </c>
      <c r="G281" t="s">
        <v>148</v>
      </c>
      <c r="H281" t="s">
        <v>395</v>
      </c>
      <c r="I281" t="s">
        <v>398</v>
      </c>
      <c r="J281">
        <v>218.9503</v>
      </c>
      <c r="K281" t="s">
        <v>5</v>
      </c>
    </row>
    <row r="282" spans="1:11" x14ac:dyDescent="0.3">
      <c r="A282">
        <v>281</v>
      </c>
      <c r="B282">
        <v>80</v>
      </c>
      <c r="C282">
        <v>36</v>
      </c>
      <c r="D282" t="s">
        <v>113</v>
      </c>
      <c r="E282" t="s">
        <v>41</v>
      </c>
      <c r="F282" t="s">
        <v>87</v>
      </c>
      <c r="G282" t="s">
        <v>316</v>
      </c>
      <c r="H282" t="s">
        <v>14</v>
      </c>
      <c r="I282" t="s">
        <v>55</v>
      </c>
      <c r="J282">
        <v>187.49449999999999</v>
      </c>
      <c r="K282" t="s">
        <v>391</v>
      </c>
    </row>
    <row r="283" spans="1:11" x14ac:dyDescent="0.3">
      <c r="A283">
        <v>282</v>
      </c>
      <c r="B283">
        <v>32</v>
      </c>
      <c r="C283">
        <v>30</v>
      </c>
      <c r="D283" t="s">
        <v>217</v>
      </c>
      <c r="E283" t="s">
        <v>392</v>
      </c>
      <c r="F283" t="s">
        <v>42</v>
      </c>
      <c r="G283" t="s">
        <v>177</v>
      </c>
      <c r="H283" t="s">
        <v>6</v>
      </c>
      <c r="I283" t="s">
        <v>64</v>
      </c>
      <c r="J283">
        <v>156.34610000000001</v>
      </c>
      <c r="K283" t="s">
        <v>3</v>
      </c>
    </row>
    <row r="284" spans="1:11" x14ac:dyDescent="0.3">
      <c r="A284">
        <v>283</v>
      </c>
      <c r="B284">
        <v>160</v>
      </c>
      <c r="C284">
        <v>87</v>
      </c>
      <c r="D284" t="s">
        <v>211</v>
      </c>
      <c r="E284" t="s">
        <v>392</v>
      </c>
      <c r="F284" t="s">
        <v>107</v>
      </c>
      <c r="G284" t="s">
        <v>317</v>
      </c>
      <c r="H284" t="s">
        <v>393</v>
      </c>
      <c r="I284" t="s">
        <v>40</v>
      </c>
      <c r="J284">
        <v>818.17679999999996</v>
      </c>
      <c r="K284" t="s">
        <v>5</v>
      </c>
    </row>
    <row r="285" spans="1:11" x14ac:dyDescent="0.3">
      <c r="A285">
        <v>284</v>
      </c>
      <c r="B285">
        <v>165</v>
      </c>
      <c r="C285">
        <v>24</v>
      </c>
      <c r="D285" t="s">
        <v>214</v>
      </c>
      <c r="E285" t="s">
        <v>41</v>
      </c>
      <c r="F285" t="s">
        <v>61</v>
      </c>
      <c r="G285" t="s">
        <v>318</v>
      </c>
      <c r="H285" t="s">
        <v>14</v>
      </c>
      <c r="I285" t="s">
        <v>59</v>
      </c>
      <c r="J285">
        <v>321.07479999999998</v>
      </c>
      <c r="K285" t="s">
        <v>5</v>
      </c>
    </row>
    <row r="286" spans="1:11" x14ac:dyDescent="0.3">
      <c r="A286">
        <v>285</v>
      </c>
      <c r="B286">
        <v>167</v>
      </c>
      <c r="C286">
        <v>83</v>
      </c>
      <c r="D286" t="s">
        <v>211</v>
      </c>
      <c r="E286" t="s">
        <v>41</v>
      </c>
      <c r="F286" t="s">
        <v>87</v>
      </c>
      <c r="G286" t="s">
        <v>319</v>
      </c>
      <c r="H286" t="s">
        <v>6</v>
      </c>
      <c r="I286" t="s">
        <v>32</v>
      </c>
      <c r="J286">
        <v>37.183700000000002</v>
      </c>
      <c r="K286" t="s">
        <v>7</v>
      </c>
    </row>
    <row r="287" spans="1:11" x14ac:dyDescent="0.3">
      <c r="A287">
        <v>286</v>
      </c>
      <c r="B287">
        <v>15</v>
      </c>
      <c r="C287">
        <v>138</v>
      </c>
      <c r="D287" t="s">
        <v>128</v>
      </c>
      <c r="E287" t="s">
        <v>41</v>
      </c>
      <c r="F287" t="s">
        <v>102</v>
      </c>
      <c r="G287" t="s">
        <v>243</v>
      </c>
      <c r="H287" t="s">
        <v>395</v>
      </c>
      <c r="I287" t="s">
        <v>36</v>
      </c>
      <c r="J287">
        <v>-141.22739999999999</v>
      </c>
      <c r="K287" t="s">
        <v>7</v>
      </c>
    </row>
    <row r="288" spans="1:11" x14ac:dyDescent="0.3">
      <c r="A288">
        <v>287</v>
      </c>
      <c r="B288">
        <v>33</v>
      </c>
      <c r="C288">
        <v>99</v>
      </c>
      <c r="D288" t="s">
        <v>130</v>
      </c>
      <c r="E288" t="s">
        <v>392</v>
      </c>
      <c r="F288" t="s">
        <v>116</v>
      </c>
      <c r="G288" t="s">
        <v>98</v>
      </c>
      <c r="H288" t="s">
        <v>14</v>
      </c>
      <c r="I288" t="s">
        <v>59</v>
      </c>
      <c r="J288">
        <v>181.8212</v>
      </c>
      <c r="K288" t="s">
        <v>3</v>
      </c>
    </row>
    <row r="289" spans="1:11" x14ac:dyDescent="0.3">
      <c r="A289">
        <v>288</v>
      </c>
      <c r="B289">
        <v>105</v>
      </c>
      <c r="C289">
        <v>35</v>
      </c>
      <c r="D289" t="s">
        <v>130</v>
      </c>
      <c r="E289" t="s">
        <v>392</v>
      </c>
      <c r="F289" t="s">
        <v>85</v>
      </c>
      <c r="G289" t="s">
        <v>320</v>
      </c>
      <c r="I289" t="s">
        <v>32</v>
      </c>
      <c r="J289">
        <v>192.07159999999999</v>
      </c>
      <c r="K289" t="s">
        <v>3</v>
      </c>
    </row>
    <row r="290" spans="1:11" x14ac:dyDescent="0.3">
      <c r="A290">
        <v>289</v>
      </c>
      <c r="B290">
        <v>2</v>
      </c>
      <c r="C290">
        <v>30</v>
      </c>
      <c r="D290" t="s">
        <v>220</v>
      </c>
      <c r="E290" t="s">
        <v>392</v>
      </c>
      <c r="F290" t="s">
        <v>151</v>
      </c>
      <c r="G290" t="s">
        <v>321</v>
      </c>
      <c r="H290" t="s">
        <v>393</v>
      </c>
      <c r="I290" t="s">
        <v>396</v>
      </c>
      <c r="J290">
        <v>996.05380000000002</v>
      </c>
      <c r="K290" t="s">
        <v>5</v>
      </c>
    </row>
    <row r="291" spans="1:11" x14ac:dyDescent="0.3">
      <c r="A291">
        <v>290</v>
      </c>
      <c r="B291">
        <v>59</v>
      </c>
      <c r="C291">
        <v>141</v>
      </c>
      <c r="D291" t="s">
        <v>244</v>
      </c>
      <c r="E291" t="s">
        <v>392</v>
      </c>
      <c r="F291" t="s">
        <v>131</v>
      </c>
      <c r="G291" t="s">
        <v>289</v>
      </c>
      <c r="H291" t="s">
        <v>393</v>
      </c>
      <c r="I291" t="s">
        <v>40</v>
      </c>
      <c r="J291">
        <v>531.97080000000005</v>
      </c>
      <c r="K291" t="s">
        <v>5</v>
      </c>
    </row>
    <row r="292" spans="1:11" x14ac:dyDescent="0.3">
      <c r="A292">
        <v>291</v>
      </c>
      <c r="B292">
        <v>40</v>
      </c>
      <c r="C292">
        <v>136</v>
      </c>
      <c r="D292" t="s">
        <v>312</v>
      </c>
      <c r="E292" t="s">
        <v>29</v>
      </c>
      <c r="F292" t="s">
        <v>61</v>
      </c>
      <c r="G292" t="s">
        <v>235</v>
      </c>
      <c r="H292" t="s">
        <v>395</v>
      </c>
      <c r="I292" t="s">
        <v>47</v>
      </c>
      <c r="J292">
        <v>-95.172700000000006</v>
      </c>
      <c r="K292" t="s">
        <v>7</v>
      </c>
    </row>
    <row r="293" spans="1:11" x14ac:dyDescent="0.3">
      <c r="A293">
        <v>292</v>
      </c>
      <c r="B293">
        <v>172</v>
      </c>
      <c r="C293">
        <v>55</v>
      </c>
      <c r="D293" t="s">
        <v>37</v>
      </c>
      <c r="E293" t="s">
        <v>392</v>
      </c>
      <c r="F293" t="s">
        <v>45</v>
      </c>
      <c r="G293" t="s">
        <v>250</v>
      </c>
      <c r="I293" t="s">
        <v>51</v>
      </c>
      <c r="J293">
        <v>367.21850000000001</v>
      </c>
      <c r="K293" t="s">
        <v>3</v>
      </c>
    </row>
    <row r="294" spans="1:11" x14ac:dyDescent="0.3">
      <c r="A294">
        <v>293</v>
      </c>
      <c r="B294">
        <v>189</v>
      </c>
      <c r="C294">
        <v>3</v>
      </c>
      <c r="D294" t="s">
        <v>147</v>
      </c>
      <c r="E294" t="s">
        <v>389</v>
      </c>
      <c r="F294" t="s">
        <v>131</v>
      </c>
      <c r="G294" t="s">
        <v>296</v>
      </c>
      <c r="H294" t="s">
        <v>14</v>
      </c>
      <c r="I294" t="s">
        <v>399</v>
      </c>
      <c r="J294">
        <v>898.85929999999996</v>
      </c>
      <c r="K294" t="s">
        <v>5</v>
      </c>
    </row>
    <row r="295" spans="1:11" x14ac:dyDescent="0.3">
      <c r="A295">
        <v>294</v>
      </c>
      <c r="B295">
        <v>66</v>
      </c>
      <c r="C295">
        <v>3</v>
      </c>
      <c r="D295" t="s">
        <v>217</v>
      </c>
      <c r="E295" t="s">
        <v>392</v>
      </c>
      <c r="F295" t="s">
        <v>111</v>
      </c>
      <c r="G295" t="s">
        <v>322</v>
      </c>
      <c r="H295" t="s">
        <v>14</v>
      </c>
      <c r="I295" t="s">
        <v>399</v>
      </c>
      <c r="J295">
        <v>-213.45570000000001</v>
      </c>
      <c r="K295" t="s">
        <v>5</v>
      </c>
    </row>
    <row r="296" spans="1:11" x14ac:dyDescent="0.3">
      <c r="A296">
        <v>295</v>
      </c>
      <c r="B296">
        <v>190</v>
      </c>
      <c r="C296">
        <v>65</v>
      </c>
      <c r="D296" t="s">
        <v>65</v>
      </c>
      <c r="E296" t="s">
        <v>41</v>
      </c>
      <c r="F296" t="s">
        <v>145</v>
      </c>
      <c r="G296" t="s">
        <v>323</v>
      </c>
      <c r="H296" t="s">
        <v>393</v>
      </c>
      <c r="I296" t="s">
        <v>59</v>
      </c>
      <c r="J296">
        <v>336.76499999999999</v>
      </c>
      <c r="K296" t="s">
        <v>7</v>
      </c>
    </row>
    <row r="297" spans="1:11" x14ac:dyDescent="0.3">
      <c r="A297">
        <v>296</v>
      </c>
      <c r="B297">
        <v>90</v>
      </c>
      <c r="C297">
        <v>25</v>
      </c>
      <c r="D297" t="s">
        <v>68</v>
      </c>
      <c r="E297" t="s">
        <v>392</v>
      </c>
      <c r="F297" t="s">
        <v>76</v>
      </c>
      <c r="G297" t="s">
        <v>324</v>
      </c>
      <c r="H297" t="s">
        <v>14</v>
      </c>
      <c r="I297" t="s">
        <v>36</v>
      </c>
      <c r="J297">
        <v>678.88459999999998</v>
      </c>
      <c r="K297" t="s">
        <v>391</v>
      </c>
    </row>
    <row r="298" spans="1:11" x14ac:dyDescent="0.3">
      <c r="A298">
        <v>297</v>
      </c>
      <c r="B298">
        <v>45</v>
      </c>
      <c r="C298">
        <v>54</v>
      </c>
      <c r="D298" t="s">
        <v>217</v>
      </c>
      <c r="E298" t="s">
        <v>29</v>
      </c>
      <c r="F298" t="s">
        <v>34</v>
      </c>
      <c r="G298" t="s">
        <v>325</v>
      </c>
      <c r="H298" t="s">
        <v>13</v>
      </c>
      <c r="I298" t="s">
        <v>64</v>
      </c>
      <c r="J298">
        <v>910.04070000000002</v>
      </c>
      <c r="K298" t="s">
        <v>5</v>
      </c>
    </row>
    <row r="299" spans="1:11" x14ac:dyDescent="0.3">
      <c r="A299">
        <v>298</v>
      </c>
      <c r="B299">
        <v>63</v>
      </c>
      <c r="C299">
        <v>31</v>
      </c>
      <c r="D299" t="s">
        <v>162</v>
      </c>
      <c r="E299" t="s">
        <v>392</v>
      </c>
      <c r="F299" t="s">
        <v>94</v>
      </c>
      <c r="G299" t="s">
        <v>117</v>
      </c>
      <c r="H299" t="s">
        <v>14</v>
      </c>
      <c r="I299" t="s">
        <v>396</v>
      </c>
      <c r="J299">
        <v>390.45460000000003</v>
      </c>
      <c r="K299" t="s">
        <v>3</v>
      </c>
    </row>
    <row r="300" spans="1:11" x14ac:dyDescent="0.3">
      <c r="A300">
        <v>299</v>
      </c>
      <c r="B300">
        <v>55</v>
      </c>
      <c r="C300">
        <v>54</v>
      </c>
      <c r="D300" t="s">
        <v>89</v>
      </c>
      <c r="E300" t="s">
        <v>389</v>
      </c>
      <c r="F300" t="s">
        <v>76</v>
      </c>
      <c r="G300" t="s">
        <v>103</v>
      </c>
      <c r="H300" t="s">
        <v>393</v>
      </c>
      <c r="I300" t="s">
        <v>32</v>
      </c>
      <c r="J300">
        <v>174.50280000000001</v>
      </c>
      <c r="K300" t="s">
        <v>3</v>
      </c>
    </row>
    <row r="301" spans="1:11" x14ac:dyDescent="0.3">
      <c r="A301">
        <v>300</v>
      </c>
      <c r="B301">
        <v>154</v>
      </c>
      <c r="C301">
        <v>59</v>
      </c>
      <c r="D301" t="s">
        <v>185</v>
      </c>
      <c r="E301" t="s">
        <v>389</v>
      </c>
      <c r="F301" t="s">
        <v>76</v>
      </c>
      <c r="G301" t="s">
        <v>157</v>
      </c>
      <c r="I301" t="s">
        <v>396</v>
      </c>
      <c r="J301">
        <v>759.76919999999996</v>
      </c>
      <c r="K301" t="s">
        <v>7</v>
      </c>
    </row>
    <row r="302" spans="1:11" x14ac:dyDescent="0.3">
      <c r="A302">
        <v>301</v>
      </c>
      <c r="B302">
        <v>37</v>
      </c>
      <c r="C302">
        <v>78</v>
      </c>
      <c r="D302" t="s">
        <v>84</v>
      </c>
      <c r="E302" t="s">
        <v>392</v>
      </c>
      <c r="F302" t="s">
        <v>107</v>
      </c>
      <c r="G302" t="s">
        <v>255</v>
      </c>
      <c r="H302" t="s">
        <v>390</v>
      </c>
      <c r="I302" t="s">
        <v>394</v>
      </c>
      <c r="J302">
        <v>730.35530000000006</v>
      </c>
      <c r="K302" t="s">
        <v>7</v>
      </c>
    </row>
    <row r="303" spans="1:11" x14ac:dyDescent="0.3">
      <c r="A303">
        <v>302</v>
      </c>
      <c r="B303">
        <v>40</v>
      </c>
      <c r="C303">
        <v>48</v>
      </c>
      <c r="D303" t="s">
        <v>115</v>
      </c>
      <c r="E303" t="s">
        <v>392</v>
      </c>
      <c r="F303" t="s">
        <v>61</v>
      </c>
      <c r="G303" t="s">
        <v>326</v>
      </c>
      <c r="H303" t="s">
        <v>390</v>
      </c>
      <c r="I303" t="s">
        <v>402</v>
      </c>
      <c r="J303">
        <v>207.572</v>
      </c>
      <c r="K303" t="s">
        <v>7</v>
      </c>
    </row>
    <row r="304" spans="1:11" x14ac:dyDescent="0.3">
      <c r="A304">
        <v>303</v>
      </c>
      <c r="B304">
        <v>128</v>
      </c>
      <c r="C304">
        <v>21</v>
      </c>
      <c r="D304" t="s">
        <v>147</v>
      </c>
      <c r="E304" t="s">
        <v>392</v>
      </c>
      <c r="F304" t="s">
        <v>145</v>
      </c>
      <c r="G304" t="s">
        <v>138</v>
      </c>
      <c r="H304" t="s">
        <v>13</v>
      </c>
      <c r="I304" t="s">
        <v>40</v>
      </c>
      <c r="J304">
        <v>564.83489999999995</v>
      </c>
      <c r="K304" t="s">
        <v>5</v>
      </c>
    </row>
    <row r="305" spans="1:11" x14ac:dyDescent="0.3">
      <c r="A305">
        <v>304</v>
      </c>
      <c r="B305">
        <v>147</v>
      </c>
      <c r="C305">
        <v>80</v>
      </c>
      <c r="D305" t="s">
        <v>217</v>
      </c>
      <c r="E305" t="s">
        <v>392</v>
      </c>
      <c r="F305" t="s">
        <v>171</v>
      </c>
      <c r="G305" t="s">
        <v>327</v>
      </c>
      <c r="H305" t="s">
        <v>390</v>
      </c>
      <c r="I305" t="s">
        <v>51</v>
      </c>
      <c r="J305">
        <v>673.06669999999997</v>
      </c>
      <c r="K305" t="s">
        <v>391</v>
      </c>
    </row>
    <row r="306" spans="1:11" x14ac:dyDescent="0.3">
      <c r="A306">
        <v>305</v>
      </c>
      <c r="B306">
        <v>161</v>
      </c>
      <c r="C306">
        <v>2</v>
      </c>
      <c r="D306" t="s">
        <v>109</v>
      </c>
      <c r="E306" t="s">
        <v>389</v>
      </c>
      <c r="F306" t="s">
        <v>73</v>
      </c>
      <c r="G306" t="s">
        <v>328</v>
      </c>
      <c r="H306" t="s">
        <v>390</v>
      </c>
      <c r="I306" t="s">
        <v>64</v>
      </c>
      <c r="J306">
        <v>482.56450000000001</v>
      </c>
      <c r="K306" t="s">
        <v>5</v>
      </c>
    </row>
    <row r="307" spans="1:11" x14ac:dyDescent="0.3">
      <c r="A307">
        <v>306</v>
      </c>
      <c r="B307">
        <v>72</v>
      </c>
      <c r="C307">
        <v>143</v>
      </c>
      <c r="D307" t="s">
        <v>244</v>
      </c>
      <c r="E307" t="s">
        <v>41</v>
      </c>
      <c r="F307" t="s">
        <v>104</v>
      </c>
      <c r="G307" t="s">
        <v>309</v>
      </c>
      <c r="H307" t="s">
        <v>6</v>
      </c>
      <c r="I307" t="s">
        <v>397</v>
      </c>
      <c r="J307">
        <v>-275.05759999999998</v>
      </c>
      <c r="K307" t="s">
        <v>391</v>
      </c>
    </row>
    <row r="308" spans="1:11" x14ac:dyDescent="0.3">
      <c r="A308">
        <v>307</v>
      </c>
      <c r="B308">
        <v>98</v>
      </c>
      <c r="C308">
        <v>133</v>
      </c>
      <c r="D308" t="s">
        <v>33</v>
      </c>
      <c r="E308" t="s">
        <v>392</v>
      </c>
      <c r="F308" t="s">
        <v>107</v>
      </c>
      <c r="G308" t="s">
        <v>329</v>
      </c>
      <c r="H308" t="s">
        <v>395</v>
      </c>
      <c r="I308" t="s">
        <v>32</v>
      </c>
      <c r="J308">
        <v>898.55050000000006</v>
      </c>
      <c r="K308" t="s">
        <v>5</v>
      </c>
    </row>
    <row r="309" spans="1:11" x14ac:dyDescent="0.3">
      <c r="A309">
        <v>308</v>
      </c>
      <c r="B309">
        <v>23</v>
      </c>
      <c r="C309">
        <v>135</v>
      </c>
      <c r="D309" t="s">
        <v>96</v>
      </c>
      <c r="E309" t="s">
        <v>41</v>
      </c>
      <c r="F309" t="s">
        <v>151</v>
      </c>
      <c r="G309" t="s">
        <v>167</v>
      </c>
      <c r="H309" t="s">
        <v>6</v>
      </c>
      <c r="I309" t="s">
        <v>51</v>
      </c>
      <c r="J309">
        <v>110.95010000000001</v>
      </c>
      <c r="K309" t="s">
        <v>3</v>
      </c>
    </row>
    <row r="310" spans="1:11" x14ac:dyDescent="0.3">
      <c r="A310">
        <v>309</v>
      </c>
      <c r="B310">
        <v>96</v>
      </c>
      <c r="C310">
        <v>83</v>
      </c>
      <c r="D310" t="s">
        <v>48</v>
      </c>
      <c r="E310" t="s">
        <v>389</v>
      </c>
      <c r="F310" t="s">
        <v>30</v>
      </c>
      <c r="G310" t="s">
        <v>330</v>
      </c>
      <c r="H310" t="s">
        <v>6</v>
      </c>
      <c r="I310" t="s">
        <v>51</v>
      </c>
      <c r="J310">
        <v>965.85090000000002</v>
      </c>
      <c r="K310" t="s">
        <v>7</v>
      </c>
    </row>
    <row r="311" spans="1:11" x14ac:dyDescent="0.3">
      <c r="A311">
        <v>310</v>
      </c>
      <c r="B311">
        <v>192</v>
      </c>
      <c r="C311">
        <v>139</v>
      </c>
      <c r="D311" t="s">
        <v>60</v>
      </c>
      <c r="E311" t="s">
        <v>29</v>
      </c>
      <c r="F311" t="s">
        <v>45</v>
      </c>
      <c r="G311" t="s">
        <v>136</v>
      </c>
      <c r="H311" t="s">
        <v>6</v>
      </c>
      <c r="I311" t="s">
        <v>47</v>
      </c>
      <c r="J311">
        <v>953.96410000000003</v>
      </c>
      <c r="K311" t="s">
        <v>3</v>
      </c>
    </row>
    <row r="312" spans="1:11" x14ac:dyDescent="0.3">
      <c r="A312">
        <v>311</v>
      </c>
      <c r="B312">
        <v>43</v>
      </c>
      <c r="C312">
        <v>147</v>
      </c>
      <c r="D312" t="s">
        <v>149</v>
      </c>
      <c r="E312" t="s">
        <v>392</v>
      </c>
      <c r="F312" t="s">
        <v>104</v>
      </c>
      <c r="G312" t="s">
        <v>331</v>
      </c>
      <c r="H312" t="s">
        <v>390</v>
      </c>
      <c r="I312" t="s">
        <v>59</v>
      </c>
      <c r="J312">
        <v>355.37060000000002</v>
      </c>
      <c r="K312" t="s">
        <v>5</v>
      </c>
    </row>
    <row r="313" spans="1:11" x14ac:dyDescent="0.3">
      <c r="A313">
        <v>312</v>
      </c>
      <c r="B313">
        <v>193</v>
      </c>
      <c r="C313">
        <v>5</v>
      </c>
      <c r="D313" t="s">
        <v>130</v>
      </c>
      <c r="E313" t="s">
        <v>29</v>
      </c>
      <c r="F313" t="s">
        <v>107</v>
      </c>
      <c r="G313" t="s">
        <v>332</v>
      </c>
      <c r="H313" t="s">
        <v>6</v>
      </c>
      <c r="I313" t="s">
        <v>398</v>
      </c>
      <c r="J313">
        <v>976.36220000000003</v>
      </c>
      <c r="K313" t="s">
        <v>3</v>
      </c>
    </row>
    <row r="314" spans="1:11" x14ac:dyDescent="0.3">
      <c r="A314">
        <v>313</v>
      </c>
      <c r="B314">
        <v>85</v>
      </c>
      <c r="C314">
        <v>92</v>
      </c>
      <c r="D314" t="s">
        <v>109</v>
      </c>
      <c r="E314" t="s">
        <v>392</v>
      </c>
      <c r="F314" t="s">
        <v>111</v>
      </c>
      <c r="G314" t="s">
        <v>333</v>
      </c>
      <c r="H314" t="s">
        <v>390</v>
      </c>
      <c r="I314" t="s">
        <v>64</v>
      </c>
      <c r="J314">
        <v>543.1345</v>
      </c>
      <c r="K314" t="s">
        <v>5</v>
      </c>
    </row>
    <row r="315" spans="1:11" x14ac:dyDescent="0.3">
      <c r="A315">
        <v>314</v>
      </c>
      <c r="B315">
        <v>125</v>
      </c>
      <c r="C315">
        <v>46</v>
      </c>
      <c r="D315" t="s">
        <v>230</v>
      </c>
      <c r="E315" t="s">
        <v>41</v>
      </c>
      <c r="F315" t="s">
        <v>131</v>
      </c>
      <c r="G315" t="s">
        <v>334</v>
      </c>
      <c r="H315" t="s">
        <v>395</v>
      </c>
      <c r="I315" t="s">
        <v>32</v>
      </c>
      <c r="J315">
        <v>557.70889999999997</v>
      </c>
      <c r="K315" t="s">
        <v>5</v>
      </c>
    </row>
    <row r="316" spans="1:11" x14ac:dyDescent="0.3">
      <c r="A316">
        <v>315</v>
      </c>
      <c r="B316">
        <v>98</v>
      </c>
      <c r="C316">
        <v>18</v>
      </c>
      <c r="D316" t="s">
        <v>244</v>
      </c>
      <c r="E316" t="s">
        <v>41</v>
      </c>
      <c r="F316" t="s">
        <v>61</v>
      </c>
      <c r="G316" t="s">
        <v>335</v>
      </c>
      <c r="H316" t="s">
        <v>393</v>
      </c>
      <c r="I316" t="s">
        <v>51</v>
      </c>
      <c r="J316">
        <v>229.7696</v>
      </c>
      <c r="K316" t="s">
        <v>3</v>
      </c>
    </row>
    <row r="317" spans="1:11" x14ac:dyDescent="0.3">
      <c r="A317">
        <v>316</v>
      </c>
      <c r="B317">
        <v>117</v>
      </c>
      <c r="C317">
        <v>36</v>
      </c>
      <c r="D317" t="s">
        <v>99</v>
      </c>
      <c r="E317" t="s">
        <v>41</v>
      </c>
      <c r="F317" t="s">
        <v>57</v>
      </c>
      <c r="G317" t="s">
        <v>302</v>
      </c>
      <c r="H317" t="s">
        <v>14</v>
      </c>
      <c r="I317" t="s">
        <v>402</v>
      </c>
      <c r="J317">
        <v>557.04489999999998</v>
      </c>
      <c r="K317" t="s">
        <v>5</v>
      </c>
    </row>
    <row r="318" spans="1:11" x14ac:dyDescent="0.3">
      <c r="A318">
        <v>317</v>
      </c>
      <c r="B318">
        <v>143</v>
      </c>
      <c r="C318">
        <v>83</v>
      </c>
      <c r="D318" t="s">
        <v>128</v>
      </c>
      <c r="E318" t="s">
        <v>392</v>
      </c>
      <c r="F318" t="s">
        <v>53</v>
      </c>
      <c r="G318" t="s">
        <v>110</v>
      </c>
      <c r="H318" t="s">
        <v>13</v>
      </c>
      <c r="I318" t="s">
        <v>55</v>
      </c>
      <c r="J318">
        <v>-278.596</v>
      </c>
      <c r="K318" t="s">
        <v>5</v>
      </c>
    </row>
    <row r="319" spans="1:11" x14ac:dyDescent="0.3">
      <c r="A319">
        <v>318</v>
      </c>
      <c r="B319">
        <v>30</v>
      </c>
      <c r="C319">
        <v>121</v>
      </c>
      <c r="D319" t="s">
        <v>28</v>
      </c>
      <c r="E319" t="s">
        <v>389</v>
      </c>
      <c r="F319" t="s">
        <v>131</v>
      </c>
      <c r="G319" t="s">
        <v>336</v>
      </c>
      <c r="H319" t="s">
        <v>14</v>
      </c>
      <c r="I319" t="s">
        <v>47</v>
      </c>
      <c r="J319">
        <v>353.97919999999999</v>
      </c>
      <c r="K319" t="s">
        <v>3</v>
      </c>
    </row>
    <row r="320" spans="1:11" x14ac:dyDescent="0.3">
      <c r="A320">
        <v>319</v>
      </c>
      <c r="B320">
        <v>119</v>
      </c>
      <c r="C320">
        <v>135</v>
      </c>
      <c r="D320" t="s">
        <v>126</v>
      </c>
      <c r="E320" t="s">
        <v>389</v>
      </c>
      <c r="F320" t="s">
        <v>66</v>
      </c>
      <c r="G320" t="s">
        <v>255</v>
      </c>
      <c r="H320" t="s">
        <v>390</v>
      </c>
      <c r="I320" t="s">
        <v>40</v>
      </c>
      <c r="J320">
        <v>433.38900000000001</v>
      </c>
      <c r="K320" t="s">
        <v>7</v>
      </c>
    </row>
    <row r="321" spans="1:11" x14ac:dyDescent="0.3">
      <c r="A321">
        <v>320</v>
      </c>
      <c r="B321">
        <v>138</v>
      </c>
      <c r="C321">
        <v>20</v>
      </c>
      <c r="D321" t="s">
        <v>37</v>
      </c>
      <c r="E321" t="s">
        <v>41</v>
      </c>
      <c r="F321" t="s">
        <v>151</v>
      </c>
      <c r="G321" t="s">
        <v>95</v>
      </c>
      <c r="H321" t="s">
        <v>390</v>
      </c>
      <c r="I321" t="s">
        <v>400</v>
      </c>
      <c r="J321">
        <v>-151.85919999999999</v>
      </c>
      <c r="K321" t="s">
        <v>391</v>
      </c>
    </row>
    <row r="322" spans="1:11" x14ac:dyDescent="0.3">
      <c r="A322">
        <v>321</v>
      </c>
      <c r="B322">
        <v>17</v>
      </c>
      <c r="C322">
        <v>96</v>
      </c>
      <c r="D322" t="s">
        <v>220</v>
      </c>
      <c r="E322" t="s">
        <v>389</v>
      </c>
      <c r="F322" t="s">
        <v>107</v>
      </c>
      <c r="G322" t="s">
        <v>337</v>
      </c>
      <c r="H322" t="s">
        <v>390</v>
      </c>
      <c r="I322" t="s">
        <v>51</v>
      </c>
      <c r="J322">
        <v>-1.8952</v>
      </c>
      <c r="K322" t="s">
        <v>7</v>
      </c>
    </row>
    <row r="323" spans="1:11" x14ac:dyDescent="0.3">
      <c r="A323">
        <v>322</v>
      </c>
      <c r="B323">
        <v>157</v>
      </c>
      <c r="C323">
        <v>25</v>
      </c>
      <c r="D323" t="s">
        <v>128</v>
      </c>
      <c r="E323" t="s">
        <v>389</v>
      </c>
      <c r="F323" t="s">
        <v>107</v>
      </c>
      <c r="G323" t="s">
        <v>336</v>
      </c>
      <c r="H323" t="s">
        <v>393</v>
      </c>
      <c r="I323" t="s">
        <v>36</v>
      </c>
      <c r="J323">
        <v>974.86220000000003</v>
      </c>
      <c r="K323" t="s">
        <v>5</v>
      </c>
    </row>
    <row r="324" spans="1:11" x14ac:dyDescent="0.3">
      <c r="A324">
        <v>323</v>
      </c>
      <c r="B324">
        <v>16</v>
      </c>
      <c r="C324">
        <v>79</v>
      </c>
      <c r="D324" t="s">
        <v>44</v>
      </c>
      <c r="E324" t="s">
        <v>392</v>
      </c>
      <c r="F324" t="s">
        <v>160</v>
      </c>
      <c r="G324" t="s">
        <v>338</v>
      </c>
      <c r="H324" t="s">
        <v>395</v>
      </c>
      <c r="I324" t="s">
        <v>397</v>
      </c>
      <c r="J324">
        <v>76.698400000000007</v>
      </c>
      <c r="K324" t="s">
        <v>3</v>
      </c>
    </row>
    <row r="325" spans="1:11" x14ac:dyDescent="0.3">
      <c r="A325">
        <v>324</v>
      </c>
      <c r="B325">
        <v>10</v>
      </c>
      <c r="C325">
        <v>133</v>
      </c>
      <c r="D325" t="s">
        <v>230</v>
      </c>
      <c r="E325" t="s">
        <v>41</v>
      </c>
      <c r="F325" t="s">
        <v>171</v>
      </c>
      <c r="G325" t="s">
        <v>225</v>
      </c>
      <c r="H325" t="s">
        <v>395</v>
      </c>
      <c r="I325" t="s">
        <v>32</v>
      </c>
      <c r="J325">
        <v>103.9965</v>
      </c>
      <c r="K325" t="s">
        <v>7</v>
      </c>
    </row>
    <row r="326" spans="1:11" x14ac:dyDescent="0.3">
      <c r="A326">
        <v>325</v>
      </c>
      <c r="B326">
        <v>144</v>
      </c>
      <c r="C326">
        <v>31</v>
      </c>
      <c r="D326" t="s">
        <v>56</v>
      </c>
      <c r="E326" t="s">
        <v>392</v>
      </c>
      <c r="F326" t="s">
        <v>102</v>
      </c>
      <c r="G326" t="s">
        <v>153</v>
      </c>
      <c r="H326" t="s">
        <v>13</v>
      </c>
      <c r="I326" t="s">
        <v>47</v>
      </c>
      <c r="J326">
        <v>836.17790000000002</v>
      </c>
      <c r="K326" t="s">
        <v>391</v>
      </c>
    </row>
    <row r="327" spans="1:11" x14ac:dyDescent="0.3">
      <c r="A327">
        <v>326</v>
      </c>
      <c r="B327">
        <v>38</v>
      </c>
      <c r="C327">
        <v>102</v>
      </c>
      <c r="D327" t="s">
        <v>52</v>
      </c>
      <c r="E327" t="s">
        <v>389</v>
      </c>
      <c r="F327" t="s">
        <v>118</v>
      </c>
      <c r="G327" t="s">
        <v>339</v>
      </c>
      <c r="I327" t="s">
        <v>40</v>
      </c>
      <c r="J327">
        <v>812.47529999999995</v>
      </c>
      <c r="K327" t="s">
        <v>5</v>
      </c>
    </row>
    <row r="328" spans="1:11" x14ac:dyDescent="0.3">
      <c r="A328">
        <v>327</v>
      </c>
      <c r="B328">
        <v>99</v>
      </c>
      <c r="C328">
        <v>127</v>
      </c>
      <c r="D328" t="s">
        <v>37</v>
      </c>
      <c r="E328" t="s">
        <v>392</v>
      </c>
      <c r="F328" t="s">
        <v>49</v>
      </c>
      <c r="G328" t="s">
        <v>174</v>
      </c>
      <c r="H328" t="s">
        <v>393</v>
      </c>
      <c r="I328" t="s">
        <v>51</v>
      </c>
      <c r="J328">
        <v>501.78390000000002</v>
      </c>
      <c r="K328" t="s">
        <v>3</v>
      </c>
    </row>
    <row r="329" spans="1:11" x14ac:dyDescent="0.3">
      <c r="A329">
        <v>328</v>
      </c>
      <c r="B329">
        <v>139</v>
      </c>
      <c r="C329">
        <v>45</v>
      </c>
      <c r="D329" t="s">
        <v>84</v>
      </c>
      <c r="E329" t="s">
        <v>29</v>
      </c>
      <c r="F329" t="s">
        <v>94</v>
      </c>
      <c r="G329" t="s">
        <v>62</v>
      </c>
      <c r="H329" t="s">
        <v>393</v>
      </c>
      <c r="I329" t="s">
        <v>396</v>
      </c>
      <c r="J329">
        <v>-116.2628</v>
      </c>
      <c r="K329" t="s">
        <v>391</v>
      </c>
    </row>
    <row r="330" spans="1:11" x14ac:dyDescent="0.3">
      <c r="A330">
        <v>329</v>
      </c>
      <c r="B330">
        <v>27</v>
      </c>
      <c r="C330">
        <v>142</v>
      </c>
      <c r="D330" t="s">
        <v>65</v>
      </c>
      <c r="E330" t="s">
        <v>29</v>
      </c>
      <c r="F330" t="s">
        <v>145</v>
      </c>
      <c r="G330" t="s">
        <v>302</v>
      </c>
      <c r="H330" t="s">
        <v>390</v>
      </c>
      <c r="I330" t="s">
        <v>401</v>
      </c>
      <c r="J330">
        <v>200.91300000000001</v>
      </c>
      <c r="K330" t="s">
        <v>391</v>
      </c>
    </row>
    <row r="331" spans="1:11" x14ac:dyDescent="0.3">
      <c r="A331">
        <v>330</v>
      </c>
      <c r="B331">
        <v>190</v>
      </c>
      <c r="C331">
        <v>110</v>
      </c>
      <c r="D331" t="s">
        <v>109</v>
      </c>
      <c r="E331" t="s">
        <v>392</v>
      </c>
      <c r="F331" t="s">
        <v>94</v>
      </c>
      <c r="G331" t="s">
        <v>340</v>
      </c>
      <c r="H331" t="s">
        <v>393</v>
      </c>
      <c r="I331" t="s">
        <v>398</v>
      </c>
      <c r="J331">
        <v>532.35450000000003</v>
      </c>
      <c r="K331" t="s">
        <v>7</v>
      </c>
    </row>
    <row r="332" spans="1:11" x14ac:dyDescent="0.3">
      <c r="A332">
        <v>331</v>
      </c>
      <c r="B332">
        <v>79</v>
      </c>
      <c r="C332">
        <v>37</v>
      </c>
      <c r="D332" t="s">
        <v>214</v>
      </c>
      <c r="E332" t="s">
        <v>392</v>
      </c>
      <c r="F332" t="s">
        <v>30</v>
      </c>
      <c r="G332" t="s">
        <v>331</v>
      </c>
      <c r="I332" t="s">
        <v>51</v>
      </c>
      <c r="J332">
        <v>648.24480000000005</v>
      </c>
      <c r="K332" t="s">
        <v>5</v>
      </c>
    </row>
    <row r="333" spans="1:11" x14ac:dyDescent="0.3">
      <c r="A333">
        <v>332</v>
      </c>
      <c r="B333">
        <v>191</v>
      </c>
      <c r="C333">
        <v>107</v>
      </c>
      <c r="D333" t="s">
        <v>130</v>
      </c>
      <c r="E333" t="s">
        <v>29</v>
      </c>
      <c r="F333" t="s">
        <v>111</v>
      </c>
      <c r="G333" t="s">
        <v>341</v>
      </c>
      <c r="H333" t="s">
        <v>13</v>
      </c>
      <c r="I333" t="s">
        <v>394</v>
      </c>
      <c r="J333">
        <v>358.57369999999997</v>
      </c>
      <c r="K333" t="s">
        <v>3</v>
      </c>
    </row>
    <row r="334" spans="1:11" x14ac:dyDescent="0.3">
      <c r="A334">
        <v>333</v>
      </c>
      <c r="B334">
        <v>175</v>
      </c>
      <c r="C334">
        <v>28</v>
      </c>
      <c r="D334" t="s">
        <v>81</v>
      </c>
      <c r="E334" t="s">
        <v>389</v>
      </c>
      <c r="F334" t="s">
        <v>66</v>
      </c>
      <c r="G334" t="s">
        <v>203</v>
      </c>
      <c r="H334" t="s">
        <v>393</v>
      </c>
      <c r="I334" t="s">
        <v>402</v>
      </c>
      <c r="J334">
        <v>574.57420000000002</v>
      </c>
      <c r="K334" t="s">
        <v>391</v>
      </c>
    </row>
    <row r="335" spans="1:11" x14ac:dyDescent="0.3">
      <c r="A335">
        <v>334</v>
      </c>
      <c r="B335">
        <v>26</v>
      </c>
      <c r="C335">
        <v>81</v>
      </c>
      <c r="D335" t="s">
        <v>185</v>
      </c>
      <c r="E335" t="s">
        <v>29</v>
      </c>
      <c r="F335" t="s">
        <v>94</v>
      </c>
      <c r="G335" t="s">
        <v>129</v>
      </c>
      <c r="H335" t="s">
        <v>390</v>
      </c>
      <c r="I335" t="s">
        <v>36</v>
      </c>
      <c r="J335">
        <v>387.77409999999998</v>
      </c>
      <c r="K335" t="s">
        <v>3</v>
      </c>
    </row>
    <row r="336" spans="1:11" x14ac:dyDescent="0.3">
      <c r="A336">
        <v>335</v>
      </c>
      <c r="B336">
        <v>65</v>
      </c>
      <c r="C336">
        <v>103</v>
      </c>
      <c r="D336" t="s">
        <v>60</v>
      </c>
      <c r="E336" t="s">
        <v>29</v>
      </c>
      <c r="F336" t="s">
        <v>57</v>
      </c>
      <c r="G336" t="s">
        <v>136</v>
      </c>
      <c r="H336" t="s">
        <v>390</v>
      </c>
      <c r="I336" t="s">
        <v>36</v>
      </c>
      <c r="J336">
        <v>939.76189999999997</v>
      </c>
      <c r="K336" t="s">
        <v>391</v>
      </c>
    </row>
    <row r="337" spans="1:11" x14ac:dyDescent="0.3">
      <c r="A337">
        <v>336</v>
      </c>
      <c r="B337">
        <v>19</v>
      </c>
      <c r="C337">
        <v>81</v>
      </c>
      <c r="D337" t="s">
        <v>115</v>
      </c>
      <c r="E337" t="s">
        <v>29</v>
      </c>
      <c r="F337" t="s">
        <v>87</v>
      </c>
      <c r="G337" t="s">
        <v>342</v>
      </c>
      <c r="H337" t="s">
        <v>6</v>
      </c>
      <c r="I337" t="s">
        <v>36</v>
      </c>
      <c r="J337">
        <v>569.54459999999995</v>
      </c>
      <c r="K337" t="s">
        <v>3</v>
      </c>
    </row>
    <row r="338" spans="1:11" x14ac:dyDescent="0.3">
      <c r="A338">
        <v>337</v>
      </c>
      <c r="B338">
        <v>119</v>
      </c>
      <c r="C338">
        <v>51</v>
      </c>
      <c r="D338" t="s">
        <v>37</v>
      </c>
      <c r="E338" t="s">
        <v>41</v>
      </c>
      <c r="F338" t="s">
        <v>171</v>
      </c>
      <c r="G338" t="s">
        <v>334</v>
      </c>
      <c r="H338" t="s">
        <v>393</v>
      </c>
      <c r="I338" t="s">
        <v>51</v>
      </c>
      <c r="J338">
        <v>833.15509999999995</v>
      </c>
      <c r="K338" t="s">
        <v>391</v>
      </c>
    </row>
    <row r="339" spans="1:11" x14ac:dyDescent="0.3">
      <c r="A339">
        <v>338</v>
      </c>
      <c r="B339">
        <v>28</v>
      </c>
      <c r="C339">
        <v>71</v>
      </c>
      <c r="D339" t="s">
        <v>37</v>
      </c>
      <c r="E339" t="s">
        <v>389</v>
      </c>
      <c r="F339" t="s">
        <v>111</v>
      </c>
      <c r="G339" t="s">
        <v>238</v>
      </c>
      <c r="H339" t="s">
        <v>393</v>
      </c>
      <c r="I339" t="s">
        <v>394</v>
      </c>
      <c r="J339">
        <v>947.57910000000004</v>
      </c>
      <c r="K339" t="s">
        <v>5</v>
      </c>
    </row>
    <row r="340" spans="1:11" x14ac:dyDescent="0.3">
      <c r="A340">
        <v>339</v>
      </c>
      <c r="B340">
        <v>22</v>
      </c>
      <c r="C340">
        <v>143</v>
      </c>
      <c r="D340" t="s">
        <v>93</v>
      </c>
      <c r="E340" t="s">
        <v>389</v>
      </c>
      <c r="F340" t="s">
        <v>145</v>
      </c>
      <c r="G340" t="s">
        <v>343</v>
      </c>
      <c r="H340" t="s">
        <v>390</v>
      </c>
      <c r="I340" t="s">
        <v>47</v>
      </c>
      <c r="J340">
        <v>-194.9599</v>
      </c>
      <c r="K340" t="s">
        <v>391</v>
      </c>
    </row>
    <row r="341" spans="1:11" x14ac:dyDescent="0.3">
      <c r="A341">
        <v>340</v>
      </c>
      <c r="B341">
        <v>189</v>
      </c>
      <c r="C341">
        <v>103</v>
      </c>
      <c r="D341" t="s">
        <v>115</v>
      </c>
      <c r="E341" t="s">
        <v>41</v>
      </c>
      <c r="F341" t="s">
        <v>87</v>
      </c>
      <c r="G341" t="s">
        <v>161</v>
      </c>
      <c r="H341" t="s">
        <v>13</v>
      </c>
      <c r="I341" t="s">
        <v>32</v>
      </c>
      <c r="J341">
        <v>857.34169999999995</v>
      </c>
      <c r="K341" t="s">
        <v>391</v>
      </c>
    </row>
    <row r="342" spans="1:11" x14ac:dyDescent="0.3">
      <c r="A342">
        <v>341</v>
      </c>
      <c r="B342">
        <v>48</v>
      </c>
      <c r="C342">
        <v>46</v>
      </c>
      <c r="D342" t="s">
        <v>191</v>
      </c>
      <c r="E342" t="s">
        <v>389</v>
      </c>
      <c r="F342" t="s">
        <v>102</v>
      </c>
      <c r="G342" t="s">
        <v>344</v>
      </c>
      <c r="H342" t="s">
        <v>390</v>
      </c>
      <c r="I342" t="s">
        <v>394</v>
      </c>
      <c r="J342">
        <v>967.34190000000001</v>
      </c>
      <c r="K342" t="s">
        <v>7</v>
      </c>
    </row>
    <row r="343" spans="1:11" x14ac:dyDescent="0.3">
      <c r="A343">
        <v>342</v>
      </c>
      <c r="B343">
        <v>40</v>
      </c>
      <c r="C343">
        <v>73</v>
      </c>
      <c r="D343" t="s">
        <v>147</v>
      </c>
      <c r="E343" t="s">
        <v>29</v>
      </c>
      <c r="F343" t="s">
        <v>49</v>
      </c>
      <c r="G343" t="s">
        <v>270</v>
      </c>
      <c r="H343" t="s">
        <v>393</v>
      </c>
      <c r="I343" t="s">
        <v>47</v>
      </c>
      <c r="J343">
        <v>5.3227000000000002</v>
      </c>
      <c r="K343" t="s">
        <v>3</v>
      </c>
    </row>
    <row r="344" spans="1:11" x14ac:dyDescent="0.3">
      <c r="A344">
        <v>343</v>
      </c>
      <c r="B344">
        <v>99</v>
      </c>
      <c r="C344">
        <v>101</v>
      </c>
      <c r="D344" t="s">
        <v>139</v>
      </c>
      <c r="E344" t="s">
        <v>392</v>
      </c>
      <c r="F344" t="s">
        <v>118</v>
      </c>
      <c r="G344" t="s">
        <v>345</v>
      </c>
      <c r="H344" t="s">
        <v>390</v>
      </c>
      <c r="I344" t="s">
        <v>59</v>
      </c>
      <c r="J344">
        <v>-44.123600000000003</v>
      </c>
      <c r="K344" t="s">
        <v>7</v>
      </c>
    </row>
    <row r="345" spans="1:11" x14ac:dyDescent="0.3">
      <c r="A345">
        <v>344</v>
      </c>
      <c r="B345">
        <v>176</v>
      </c>
      <c r="C345">
        <v>111</v>
      </c>
      <c r="D345" t="s">
        <v>78</v>
      </c>
      <c r="E345" t="s">
        <v>392</v>
      </c>
      <c r="F345" t="s">
        <v>71</v>
      </c>
      <c r="G345" t="s">
        <v>346</v>
      </c>
      <c r="H345" t="s">
        <v>393</v>
      </c>
      <c r="I345" t="s">
        <v>51</v>
      </c>
      <c r="J345">
        <v>-22.728400000000001</v>
      </c>
      <c r="K345" t="s">
        <v>7</v>
      </c>
    </row>
    <row r="346" spans="1:11" x14ac:dyDescent="0.3">
      <c r="A346">
        <v>345</v>
      </c>
      <c r="B346">
        <v>182</v>
      </c>
      <c r="C346">
        <v>6</v>
      </c>
      <c r="D346" t="s">
        <v>179</v>
      </c>
      <c r="E346" t="s">
        <v>389</v>
      </c>
      <c r="F346" t="s">
        <v>104</v>
      </c>
      <c r="G346" t="s">
        <v>39</v>
      </c>
      <c r="H346" t="s">
        <v>14</v>
      </c>
      <c r="I346" t="s">
        <v>47</v>
      </c>
      <c r="J346">
        <v>-89.726699999999994</v>
      </c>
      <c r="K346" t="s">
        <v>7</v>
      </c>
    </row>
    <row r="347" spans="1:11" x14ac:dyDescent="0.3">
      <c r="A347">
        <v>346</v>
      </c>
      <c r="B347">
        <v>182</v>
      </c>
      <c r="C347">
        <v>114</v>
      </c>
      <c r="D347" t="s">
        <v>70</v>
      </c>
      <c r="E347" t="s">
        <v>29</v>
      </c>
      <c r="F347" t="s">
        <v>151</v>
      </c>
      <c r="G347" t="s">
        <v>63</v>
      </c>
      <c r="H347" t="s">
        <v>390</v>
      </c>
      <c r="I347" t="s">
        <v>64</v>
      </c>
      <c r="J347">
        <v>-38.319600000000001</v>
      </c>
      <c r="K347" t="s">
        <v>391</v>
      </c>
    </row>
    <row r="348" spans="1:11" x14ac:dyDescent="0.3">
      <c r="A348">
        <v>347</v>
      </c>
      <c r="B348">
        <v>136</v>
      </c>
      <c r="C348">
        <v>101</v>
      </c>
      <c r="D348" t="s">
        <v>211</v>
      </c>
      <c r="E348" t="s">
        <v>389</v>
      </c>
      <c r="F348" t="s">
        <v>94</v>
      </c>
      <c r="G348" t="s">
        <v>332</v>
      </c>
      <c r="H348" t="s">
        <v>6</v>
      </c>
      <c r="I348" t="s">
        <v>402</v>
      </c>
      <c r="J348">
        <v>22.7257</v>
      </c>
      <c r="K348" t="s">
        <v>3</v>
      </c>
    </row>
    <row r="349" spans="1:11" x14ac:dyDescent="0.3">
      <c r="A349">
        <v>348</v>
      </c>
      <c r="B349">
        <v>126</v>
      </c>
      <c r="C349">
        <v>105</v>
      </c>
      <c r="D349" t="s">
        <v>244</v>
      </c>
      <c r="E349" t="s">
        <v>29</v>
      </c>
      <c r="F349" t="s">
        <v>131</v>
      </c>
      <c r="G349" t="s">
        <v>228</v>
      </c>
      <c r="H349" t="s">
        <v>390</v>
      </c>
      <c r="I349" t="s">
        <v>51</v>
      </c>
      <c r="J349">
        <v>448.85390000000001</v>
      </c>
      <c r="K349" t="s">
        <v>391</v>
      </c>
    </row>
    <row r="350" spans="1:11" x14ac:dyDescent="0.3">
      <c r="A350">
        <v>349</v>
      </c>
      <c r="B350">
        <v>112</v>
      </c>
      <c r="C350">
        <v>57</v>
      </c>
      <c r="D350" t="s">
        <v>33</v>
      </c>
      <c r="E350" t="s">
        <v>29</v>
      </c>
      <c r="F350" t="s">
        <v>49</v>
      </c>
      <c r="G350" t="s">
        <v>159</v>
      </c>
      <c r="H350" t="s">
        <v>395</v>
      </c>
      <c r="I350" t="s">
        <v>51</v>
      </c>
      <c r="J350">
        <v>575.71450000000004</v>
      </c>
      <c r="K350" t="s">
        <v>391</v>
      </c>
    </row>
    <row r="351" spans="1:11" x14ac:dyDescent="0.3">
      <c r="A351">
        <v>350</v>
      </c>
      <c r="B351">
        <v>179</v>
      </c>
      <c r="C351">
        <v>58</v>
      </c>
      <c r="D351" t="s">
        <v>183</v>
      </c>
      <c r="E351" t="s">
        <v>389</v>
      </c>
      <c r="F351" t="s">
        <v>97</v>
      </c>
      <c r="G351" t="s">
        <v>286</v>
      </c>
      <c r="H351" t="s">
        <v>390</v>
      </c>
      <c r="I351" t="s">
        <v>397</v>
      </c>
      <c r="J351">
        <v>252.13980000000001</v>
      </c>
      <c r="K351" t="s">
        <v>7</v>
      </c>
    </row>
    <row r="352" spans="1:11" x14ac:dyDescent="0.3">
      <c r="A352">
        <v>351</v>
      </c>
      <c r="B352">
        <v>30</v>
      </c>
      <c r="C352">
        <v>38</v>
      </c>
      <c r="D352" t="s">
        <v>183</v>
      </c>
      <c r="E352" t="s">
        <v>392</v>
      </c>
      <c r="F352" t="s">
        <v>116</v>
      </c>
      <c r="G352" t="s">
        <v>228</v>
      </c>
      <c r="H352" t="s">
        <v>14</v>
      </c>
      <c r="I352" t="s">
        <v>32</v>
      </c>
      <c r="J352">
        <v>705.02329999999995</v>
      </c>
      <c r="K352" t="s">
        <v>391</v>
      </c>
    </row>
    <row r="353" spans="1:11" x14ac:dyDescent="0.3">
      <c r="A353">
        <v>352</v>
      </c>
      <c r="B353">
        <v>197</v>
      </c>
      <c r="C353">
        <v>15</v>
      </c>
      <c r="D353" t="s">
        <v>130</v>
      </c>
      <c r="E353" t="s">
        <v>389</v>
      </c>
      <c r="F353" t="s">
        <v>87</v>
      </c>
      <c r="G353" t="s">
        <v>347</v>
      </c>
      <c r="H353" t="s">
        <v>393</v>
      </c>
      <c r="I353" t="s">
        <v>32</v>
      </c>
      <c r="J353">
        <v>349.93860000000001</v>
      </c>
      <c r="K353" t="s">
        <v>5</v>
      </c>
    </row>
    <row r="354" spans="1:11" x14ac:dyDescent="0.3">
      <c r="A354">
        <v>353</v>
      </c>
      <c r="B354">
        <v>94</v>
      </c>
      <c r="C354">
        <v>119</v>
      </c>
      <c r="D354" t="s">
        <v>101</v>
      </c>
      <c r="E354" t="s">
        <v>392</v>
      </c>
      <c r="F354" t="s">
        <v>135</v>
      </c>
      <c r="G354" t="s">
        <v>234</v>
      </c>
      <c r="H354" t="s">
        <v>390</v>
      </c>
      <c r="I354" t="s">
        <v>32</v>
      </c>
      <c r="J354">
        <v>-154.66380000000001</v>
      </c>
      <c r="K354" t="s">
        <v>5</v>
      </c>
    </row>
    <row r="355" spans="1:11" x14ac:dyDescent="0.3">
      <c r="A355">
        <v>354</v>
      </c>
      <c r="B355">
        <v>139</v>
      </c>
      <c r="C355">
        <v>20</v>
      </c>
      <c r="D355" t="s">
        <v>99</v>
      </c>
      <c r="E355" t="s">
        <v>389</v>
      </c>
      <c r="F355" t="s">
        <v>171</v>
      </c>
      <c r="G355" t="s">
        <v>273</v>
      </c>
      <c r="I355" t="s">
        <v>36</v>
      </c>
      <c r="J355">
        <v>876.29039999999998</v>
      </c>
      <c r="K355" t="s">
        <v>5</v>
      </c>
    </row>
    <row r="356" spans="1:11" x14ac:dyDescent="0.3">
      <c r="A356">
        <v>355</v>
      </c>
      <c r="B356">
        <v>25</v>
      </c>
      <c r="C356">
        <v>110</v>
      </c>
      <c r="D356" t="s">
        <v>194</v>
      </c>
      <c r="E356" t="s">
        <v>29</v>
      </c>
      <c r="F356" t="s">
        <v>94</v>
      </c>
      <c r="G356" t="s">
        <v>223</v>
      </c>
      <c r="H356" t="s">
        <v>6</v>
      </c>
      <c r="I356" t="s">
        <v>400</v>
      </c>
      <c r="J356">
        <v>732.15030000000002</v>
      </c>
      <c r="K356" t="s">
        <v>3</v>
      </c>
    </row>
    <row r="357" spans="1:11" x14ac:dyDescent="0.3">
      <c r="A357">
        <v>356</v>
      </c>
      <c r="B357">
        <v>149</v>
      </c>
      <c r="C357">
        <v>35</v>
      </c>
      <c r="D357" t="s">
        <v>101</v>
      </c>
      <c r="E357" t="s">
        <v>41</v>
      </c>
      <c r="F357" t="s">
        <v>131</v>
      </c>
      <c r="G357" t="s">
        <v>148</v>
      </c>
      <c r="H357" t="s">
        <v>13</v>
      </c>
      <c r="I357" t="s">
        <v>47</v>
      </c>
      <c r="J357">
        <v>-293.40989999999999</v>
      </c>
      <c r="K357" t="s">
        <v>5</v>
      </c>
    </row>
    <row r="358" spans="1:11" x14ac:dyDescent="0.3">
      <c r="A358">
        <v>357</v>
      </c>
      <c r="B358">
        <v>31</v>
      </c>
      <c r="C358">
        <v>18</v>
      </c>
      <c r="D358" t="s">
        <v>158</v>
      </c>
      <c r="E358" t="s">
        <v>389</v>
      </c>
      <c r="F358" t="s">
        <v>38</v>
      </c>
      <c r="G358" t="s">
        <v>157</v>
      </c>
      <c r="H358" t="s">
        <v>14</v>
      </c>
      <c r="I358" t="s">
        <v>51</v>
      </c>
      <c r="J358">
        <v>418.36950000000002</v>
      </c>
      <c r="K358" t="s">
        <v>7</v>
      </c>
    </row>
    <row r="359" spans="1:11" x14ac:dyDescent="0.3">
      <c r="A359">
        <v>358</v>
      </c>
      <c r="B359">
        <v>138</v>
      </c>
      <c r="C359">
        <v>7</v>
      </c>
      <c r="D359" t="s">
        <v>230</v>
      </c>
      <c r="E359" t="s">
        <v>389</v>
      </c>
      <c r="F359" t="s">
        <v>42</v>
      </c>
      <c r="G359" t="s">
        <v>129</v>
      </c>
      <c r="H359" t="s">
        <v>6</v>
      </c>
      <c r="I359" t="s">
        <v>51</v>
      </c>
      <c r="J359">
        <v>-117.49</v>
      </c>
      <c r="K359" t="s">
        <v>3</v>
      </c>
    </row>
    <row r="360" spans="1:11" x14ac:dyDescent="0.3">
      <c r="A360">
        <v>359</v>
      </c>
      <c r="B360">
        <v>169</v>
      </c>
      <c r="C360">
        <v>86</v>
      </c>
      <c r="D360" t="s">
        <v>194</v>
      </c>
      <c r="E360" t="s">
        <v>392</v>
      </c>
      <c r="F360" t="s">
        <v>107</v>
      </c>
      <c r="G360" t="s">
        <v>348</v>
      </c>
      <c r="H360" t="s">
        <v>390</v>
      </c>
      <c r="I360" t="s">
        <v>47</v>
      </c>
      <c r="J360">
        <v>932.58219999999994</v>
      </c>
      <c r="K360" t="s">
        <v>5</v>
      </c>
    </row>
    <row r="361" spans="1:11" x14ac:dyDescent="0.3">
      <c r="A361">
        <v>360</v>
      </c>
      <c r="B361">
        <v>43</v>
      </c>
      <c r="C361">
        <v>105</v>
      </c>
      <c r="D361" t="s">
        <v>154</v>
      </c>
      <c r="E361" t="s">
        <v>392</v>
      </c>
      <c r="F361" t="s">
        <v>53</v>
      </c>
      <c r="G361" t="s">
        <v>269</v>
      </c>
      <c r="H361" t="s">
        <v>13</v>
      </c>
      <c r="I361" t="s">
        <v>59</v>
      </c>
      <c r="J361">
        <v>731.59640000000002</v>
      </c>
      <c r="K361" t="s">
        <v>7</v>
      </c>
    </row>
    <row r="362" spans="1:11" x14ac:dyDescent="0.3">
      <c r="A362">
        <v>361</v>
      </c>
      <c r="B362">
        <v>36</v>
      </c>
      <c r="C362">
        <v>110</v>
      </c>
      <c r="D362" t="s">
        <v>139</v>
      </c>
      <c r="E362" t="s">
        <v>389</v>
      </c>
      <c r="F362" t="s">
        <v>94</v>
      </c>
      <c r="G362" t="s">
        <v>173</v>
      </c>
      <c r="H362" t="s">
        <v>390</v>
      </c>
      <c r="I362" t="s">
        <v>51</v>
      </c>
      <c r="J362">
        <v>-279.35340000000002</v>
      </c>
      <c r="K362" t="s">
        <v>5</v>
      </c>
    </row>
    <row r="363" spans="1:11" x14ac:dyDescent="0.3">
      <c r="A363">
        <v>362</v>
      </c>
      <c r="B363">
        <v>127</v>
      </c>
      <c r="C363">
        <v>10</v>
      </c>
      <c r="D363" t="s">
        <v>96</v>
      </c>
      <c r="E363" t="s">
        <v>392</v>
      </c>
      <c r="F363" t="s">
        <v>171</v>
      </c>
      <c r="G363" t="s">
        <v>349</v>
      </c>
      <c r="H363" t="s">
        <v>13</v>
      </c>
      <c r="I363" t="s">
        <v>36</v>
      </c>
      <c r="J363">
        <v>-167.70580000000001</v>
      </c>
      <c r="K363" t="s">
        <v>3</v>
      </c>
    </row>
    <row r="364" spans="1:11" x14ac:dyDescent="0.3">
      <c r="A364">
        <v>363</v>
      </c>
      <c r="B364">
        <v>48</v>
      </c>
      <c r="C364">
        <v>47</v>
      </c>
      <c r="D364" t="s">
        <v>147</v>
      </c>
      <c r="E364" t="s">
        <v>392</v>
      </c>
      <c r="F364" t="s">
        <v>107</v>
      </c>
      <c r="G364" t="s">
        <v>350</v>
      </c>
      <c r="H364" t="s">
        <v>6</v>
      </c>
      <c r="I364" t="s">
        <v>59</v>
      </c>
      <c r="J364">
        <v>757.41949999999997</v>
      </c>
      <c r="K364" t="s">
        <v>3</v>
      </c>
    </row>
    <row r="365" spans="1:11" x14ac:dyDescent="0.3">
      <c r="A365">
        <v>364</v>
      </c>
      <c r="B365">
        <v>181</v>
      </c>
      <c r="C365">
        <v>52</v>
      </c>
      <c r="D365" t="s">
        <v>60</v>
      </c>
      <c r="E365" t="s">
        <v>29</v>
      </c>
      <c r="F365" t="s">
        <v>38</v>
      </c>
      <c r="G365" t="s">
        <v>310</v>
      </c>
      <c r="H365" t="s">
        <v>393</v>
      </c>
      <c r="I365" t="s">
        <v>51</v>
      </c>
      <c r="J365">
        <v>-231.5119</v>
      </c>
      <c r="K365" t="s">
        <v>5</v>
      </c>
    </row>
    <row r="366" spans="1:11" x14ac:dyDescent="0.3">
      <c r="A366">
        <v>365</v>
      </c>
      <c r="B366">
        <v>10</v>
      </c>
      <c r="C366">
        <v>41</v>
      </c>
      <c r="D366" t="s">
        <v>81</v>
      </c>
      <c r="E366" t="s">
        <v>392</v>
      </c>
      <c r="F366" t="s">
        <v>151</v>
      </c>
      <c r="G366" t="s">
        <v>190</v>
      </c>
      <c r="H366" t="s">
        <v>395</v>
      </c>
      <c r="I366" t="s">
        <v>51</v>
      </c>
      <c r="J366">
        <v>820.79459999999995</v>
      </c>
      <c r="K366" t="s">
        <v>7</v>
      </c>
    </row>
    <row r="367" spans="1:11" x14ac:dyDescent="0.3">
      <c r="A367">
        <v>366</v>
      </c>
      <c r="B367">
        <v>1</v>
      </c>
      <c r="C367">
        <v>20</v>
      </c>
      <c r="D367" t="s">
        <v>185</v>
      </c>
      <c r="E367" t="s">
        <v>389</v>
      </c>
      <c r="F367" t="s">
        <v>49</v>
      </c>
      <c r="G367" t="s">
        <v>136</v>
      </c>
      <c r="H367" t="s">
        <v>13</v>
      </c>
      <c r="I367" t="s">
        <v>36</v>
      </c>
      <c r="J367">
        <v>-253.34790000000001</v>
      </c>
      <c r="K367" t="s">
        <v>5</v>
      </c>
    </row>
    <row r="368" spans="1:11" x14ac:dyDescent="0.3">
      <c r="A368">
        <v>367</v>
      </c>
      <c r="B368">
        <v>141</v>
      </c>
      <c r="C368">
        <v>64</v>
      </c>
      <c r="D368" t="s">
        <v>56</v>
      </c>
      <c r="E368" t="s">
        <v>29</v>
      </c>
      <c r="F368" t="s">
        <v>116</v>
      </c>
      <c r="G368" t="s">
        <v>351</v>
      </c>
      <c r="H368" t="s">
        <v>393</v>
      </c>
      <c r="I368" t="s">
        <v>401</v>
      </c>
      <c r="J368">
        <v>-28.445799999999998</v>
      </c>
      <c r="K368" t="s">
        <v>7</v>
      </c>
    </row>
    <row r="369" spans="1:11" x14ac:dyDescent="0.3">
      <c r="A369">
        <v>368</v>
      </c>
      <c r="B369">
        <v>95</v>
      </c>
      <c r="C369">
        <v>95</v>
      </c>
      <c r="D369" t="s">
        <v>220</v>
      </c>
      <c r="E369" t="s">
        <v>41</v>
      </c>
      <c r="F369" t="s">
        <v>171</v>
      </c>
      <c r="G369" t="s">
        <v>352</v>
      </c>
      <c r="H369" t="s">
        <v>393</v>
      </c>
      <c r="I369" t="s">
        <v>64</v>
      </c>
      <c r="J369">
        <v>-230.43950000000001</v>
      </c>
      <c r="K369" t="s">
        <v>7</v>
      </c>
    </row>
    <row r="370" spans="1:11" x14ac:dyDescent="0.3">
      <c r="A370">
        <v>369</v>
      </c>
      <c r="B370">
        <v>134</v>
      </c>
      <c r="C370">
        <v>93</v>
      </c>
      <c r="D370" t="s">
        <v>48</v>
      </c>
      <c r="E370" t="s">
        <v>392</v>
      </c>
      <c r="F370" t="s">
        <v>85</v>
      </c>
      <c r="G370" t="s">
        <v>353</v>
      </c>
      <c r="I370" t="s">
        <v>400</v>
      </c>
      <c r="J370">
        <v>559.65480000000002</v>
      </c>
      <c r="K370" t="s">
        <v>7</v>
      </c>
    </row>
    <row r="371" spans="1:11" x14ac:dyDescent="0.3">
      <c r="A371">
        <v>370</v>
      </c>
      <c r="B371">
        <v>97</v>
      </c>
      <c r="C371">
        <v>110</v>
      </c>
      <c r="D371" t="s">
        <v>96</v>
      </c>
      <c r="E371" t="s">
        <v>392</v>
      </c>
      <c r="F371" t="s">
        <v>107</v>
      </c>
      <c r="G371" t="s">
        <v>127</v>
      </c>
      <c r="H371" t="s">
        <v>6</v>
      </c>
      <c r="I371" t="s">
        <v>59</v>
      </c>
      <c r="J371">
        <v>-83.119</v>
      </c>
      <c r="K371" t="s">
        <v>391</v>
      </c>
    </row>
    <row r="372" spans="1:11" x14ac:dyDescent="0.3">
      <c r="A372">
        <v>371</v>
      </c>
      <c r="B372">
        <v>118</v>
      </c>
      <c r="C372">
        <v>108</v>
      </c>
      <c r="D372" t="s">
        <v>130</v>
      </c>
      <c r="E372" t="s">
        <v>29</v>
      </c>
      <c r="F372" t="s">
        <v>102</v>
      </c>
      <c r="G372" t="s">
        <v>354</v>
      </c>
      <c r="H372" t="s">
        <v>390</v>
      </c>
      <c r="I372" t="s">
        <v>398</v>
      </c>
      <c r="J372">
        <v>605.22699999999998</v>
      </c>
      <c r="K372" t="s">
        <v>7</v>
      </c>
    </row>
    <row r="373" spans="1:11" x14ac:dyDescent="0.3">
      <c r="A373">
        <v>372</v>
      </c>
      <c r="B373">
        <v>132</v>
      </c>
      <c r="C373">
        <v>98</v>
      </c>
      <c r="D373" t="s">
        <v>194</v>
      </c>
      <c r="E373" t="s">
        <v>41</v>
      </c>
      <c r="F373" t="s">
        <v>151</v>
      </c>
      <c r="G373" t="s">
        <v>229</v>
      </c>
      <c r="H373" t="s">
        <v>13</v>
      </c>
      <c r="I373" t="s">
        <v>59</v>
      </c>
      <c r="J373">
        <v>891.02890000000002</v>
      </c>
      <c r="K373" t="s">
        <v>5</v>
      </c>
    </row>
    <row r="374" spans="1:11" x14ac:dyDescent="0.3">
      <c r="A374">
        <v>373</v>
      </c>
      <c r="B374">
        <v>60</v>
      </c>
      <c r="C374">
        <v>39</v>
      </c>
      <c r="D374" t="s">
        <v>93</v>
      </c>
      <c r="E374" t="s">
        <v>41</v>
      </c>
      <c r="F374" t="s">
        <v>151</v>
      </c>
      <c r="G374" t="s">
        <v>355</v>
      </c>
      <c r="H374" t="s">
        <v>13</v>
      </c>
      <c r="I374" t="s">
        <v>40</v>
      </c>
      <c r="J374">
        <v>257.0926</v>
      </c>
      <c r="K374" t="s">
        <v>3</v>
      </c>
    </row>
    <row r="375" spans="1:11" x14ac:dyDescent="0.3">
      <c r="A375">
        <v>374</v>
      </c>
      <c r="B375">
        <v>107</v>
      </c>
      <c r="C375">
        <v>125</v>
      </c>
      <c r="D375" t="s">
        <v>230</v>
      </c>
      <c r="E375" t="s">
        <v>29</v>
      </c>
      <c r="F375" t="s">
        <v>145</v>
      </c>
      <c r="G375" t="s">
        <v>356</v>
      </c>
      <c r="H375" t="s">
        <v>14</v>
      </c>
      <c r="I375" t="s">
        <v>59</v>
      </c>
      <c r="J375">
        <v>-118.1632</v>
      </c>
      <c r="K375" t="s">
        <v>3</v>
      </c>
    </row>
    <row r="376" spans="1:11" x14ac:dyDescent="0.3">
      <c r="A376">
        <v>375</v>
      </c>
      <c r="B376">
        <v>174</v>
      </c>
      <c r="C376">
        <v>29</v>
      </c>
      <c r="D376" t="s">
        <v>109</v>
      </c>
      <c r="E376" t="s">
        <v>41</v>
      </c>
      <c r="F376" t="s">
        <v>118</v>
      </c>
      <c r="G376" t="s">
        <v>357</v>
      </c>
      <c r="H376" t="s">
        <v>393</v>
      </c>
      <c r="I376" t="s">
        <v>32</v>
      </c>
      <c r="J376">
        <v>445.35649999999998</v>
      </c>
      <c r="K376" t="s">
        <v>5</v>
      </c>
    </row>
    <row r="377" spans="1:11" x14ac:dyDescent="0.3">
      <c r="A377">
        <v>376</v>
      </c>
      <c r="B377">
        <v>97</v>
      </c>
      <c r="C377">
        <v>12</v>
      </c>
      <c r="D377" t="s">
        <v>211</v>
      </c>
      <c r="E377" t="s">
        <v>392</v>
      </c>
      <c r="F377" t="s">
        <v>94</v>
      </c>
      <c r="G377" t="s">
        <v>155</v>
      </c>
      <c r="H377" t="s">
        <v>6</v>
      </c>
      <c r="I377" t="s">
        <v>51</v>
      </c>
      <c r="J377">
        <v>-269.983</v>
      </c>
      <c r="K377" t="s">
        <v>5</v>
      </c>
    </row>
    <row r="378" spans="1:11" x14ac:dyDescent="0.3">
      <c r="A378">
        <v>377</v>
      </c>
      <c r="B378">
        <v>48</v>
      </c>
      <c r="C378">
        <v>35</v>
      </c>
      <c r="D378" t="s">
        <v>68</v>
      </c>
      <c r="E378" t="s">
        <v>392</v>
      </c>
      <c r="F378" t="s">
        <v>82</v>
      </c>
      <c r="G378" t="s">
        <v>358</v>
      </c>
      <c r="H378" t="s">
        <v>393</v>
      </c>
      <c r="I378" t="s">
        <v>40</v>
      </c>
      <c r="J378">
        <v>-50.144599999999997</v>
      </c>
      <c r="K378" t="s">
        <v>391</v>
      </c>
    </row>
    <row r="379" spans="1:11" x14ac:dyDescent="0.3">
      <c r="A379">
        <v>378</v>
      </c>
      <c r="B379">
        <v>5</v>
      </c>
      <c r="C379">
        <v>49</v>
      </c>
      <c r="D379" t="s">
        <v>78</v>
      </c>
      <c r="E379" t="s">
        <v>389</v>
      </c>
      <c r="F379" t="s">
        <v>104</v>
      </c>
      <c r="G379" t="s">
        <v>359</v>
      </c>
      <c r="H379" t="s">
        <v>395</v>
      </c>
      <c r="I379" t="s">
        <v>32</v>
      </c>
      <c r="J379">
        <v>273.90309999999999</v>
      </c>
      <c r="K379" t="s">
        <v>5</v>
      </c>
    </row>
    <row r="380" spans="1:11" x14ac:dyDescent="0.3">
      <c r="A380">
        <v>379</v>
      </c>
      <c r="B380">
        <v>95</v>
      </c>
      <c r="C380">
        <v>12</v>
      </c>
      <c r="D380" t="s">
        <v>197</v>
      </c>
      <c r="E380" t="s">
        <v>389</v>
      </c>
      <c r="F380" t="s">
        <v>30</v>
      </c>
      <c r="G380" t="s">
        <v>54</v>
      </c>
      <c r="H380" t="s">
        <v>6</v>
      </c>
      <c r="I380" t="s">
        <v>47</v>
      </c>
      <c r="J380">
        <v>-294.6327</v>
      </c>
      <c r="K380" t="s">
        <v>391</v>
      </c>
    </row>
    <row r="381" spans="1:11" x14ac:dyDescent="0.3">
      <c r="A381">
        <v>380</v>
      </c>
      <c r="B381">
        <v>19</v>
      </c>
      <c r="C381">
        <v>19</v>
      </c>
      <c r="D381" t="s">
        <v>96</v>
      </c>
      <c r="E381" t="s">
        <v>389</v>
      </c>
      <c r="F381" t="s">
        <v>97</v>
      </c>
      <c r="G381" t="s">
        <v>304</v>
      </c>
      <c r="H381" t="s">
        <v>393</v>
      </c>
      <c r="I381" t="s">
        <v>47</v>
      </c>
      <c r="J381">
        <v>52.862499999999997</v>
      </c>
      <c r="K381" t="s">
        <v>5</v>
      </c>
    </row>
    <row r="382" spans="1:11" x14ac:dyDescent="0.3">
      <c r="A382">
        <v>381</v>
      </c>
      <c r="B382">
        <v>133</v>
      </c>
      <c r="C382">
        <v>13</v>
      </c>
      <c r="D382" t="s">
        <v>56</v>
      </c>
      <c r="E382" t="s">
        <v>392</v>
      </c>
      <c r="F382" t="s">
        <v>116</v>
      </c>
      <c r="G382" t="s">
        <v>338</v>
      </c>
      <c r="H382" t="s">
        <v>395</v>
      </c>
      <c r="I382" t="s">
        <v>394</v>
      </c>
      <c r="J382">
        <v>116.6313</v>
      </c>
      <c r="K382" t="s">
        <v>3</v>
      </c>
    </row>
    <row r="383" spans="1:11" x14ac:dyDescent="0.3">
      <c r="A383">
        <v>382</v>
      </c>
      <c r="B383">
        <v>196</v>
      </c>
      <c r="C383">
        <v>57</v>
      </c>
      <c r="D383" t="s">
        <v>99</v>
      </c>
      <c r="E383" t="s">
        <v>389</v>
      </c>
      <c r="F383" t="s">
        <v>111</v>
      </c>
      <c r="G383" t="s">
        <v>238</v>
      </c>
      <c r="H383" t="s">
        <v>390</v>
      </c>
      <c r="I383" t="s">
        <v>398</v>
      </c>
      <c r="J383">
        <v>881.03610000000003</v>
      </c>
      <c r="K383" t="s">
        <v>7</v>
      </c>
    </row>
    <row r="384" spans="1:11" x14ac:dyDescent="0.3">
      <c r="A384">
        <v>383</v>
      </c>
      <c r="B384">
        <v>144</v>
      </c>
      <c r="C384">
        <v>46</v>
      </c>
      <c r="D384" t="s">
        <v>179</v>
      </c>
      <c r="E384" t="s">
        <v>389</v>
      </c>
      <c r="F384" t="s">
        <v>82</v>
      </c>
      <c r="G384" t="s">
        <v>321</v>
      </c>
      <c r="H384" t="s">
        <v>390</v>
      </c>
      <c r="I384" t="s">
        <v>32</v>
      </c>
      <c r="J384">
        <v>-75.9696</v>
      </c>
      <c r="K384" t="s">
        <v>3</v>
      </c>
    </row>
    <row r="385" spans="1:11" x14ac:dyDescent="0.3">
      <c r="A385">
        <v>384</v>
      </c>
      <c r="B385">
        <v>157</v>
      </c>
      <c r="C385">
        <v>110</v>
      </c>
      <c r="D385" t="s">
        <v>101</v>
      </c>
      <c r="E385" t="s">
        <v>389</v>
      </c>
      <c r="F385" t="s">
        <v>66</v>
      </c>
      <c r="G385" t="s">
        <v>262</v>
      </c>
      <c r="H385" t="s">
        <v>6</v>
      </c>
      <c r="I385" t="s">
        <v>396</v>
      </c>
      <c r="J385">
        <v>806.13829999999996</v>
      </c>
      <c r="K385" t="s">
        <v>3</v>
      </c>
    </row>
    <row r="386" spans="1:11" x14ac:dyDescent="0.3">
      <c r="A386">
        <v>385</v>
      </c>
      <c r="B386">
        <v>118</v>
      </c>
      <c r="C386">
        <v>146</v>
      </c>
      <c r="D386" t="s">
        <v>154</v>
      </c>
      <c r="E386" t="s">
        <v>389</v>
      </c>
      <c r="F386" t="s">
        <v>171</v>
      </c>
      <c r="G386" t="s">
        <v>46</v>
      </c>
      <c r="H386" t="s">
        <v>13</v>
      </c>
      <c r="I386" t="s">
        <v>64</v>
      </c>
      <c r="J386">
        <v>-290.27789999999999</v>
      </c>
      <c r="K386" t="s">
        <v>5</v>
      </c>
    </row>
    <row r="387" spans="1:11" x14ac:dyDescent="0.3">
      <c r="A387">
        <v>386</v>
      </c>
      <c r="B387">
        <v>149</v>
      </c>
      <c r="C387">
        <v>101</v>
      </c>
      <c r="D387" t="s">
        <v>128</v>
      </c>
      <c r="E387" t="s">
        <v>392</v>
      </c>
      <c r="F387" t="s">
        <v>135</v>
      </c>
      <c r="G387" t="s">
        <v>153</v>
      </c>
      <c r="H387" t="s">
        <v>6</v>
      </c>
      <c r="I387" t="s">
        <v>400</v>
      </c>
      <c r="J387">
        <v>868.63109999999995</v>
      </c>
      <c r="K387" t="s">
        <v>391</v>
      </c>
    </row>
    <row r="388" spans="1:11" x14ac:dyDescent="0.3">
      <c r="A388">
        <v>387</v>
      </c>
      <c r="B388">
        <v>193</v>
      </c>
      <c r="C388">
        <v>7</v>
      </c>
      <c r="D388" t="s">
        <v>142</v>
      </c>
      <c r="E388" t="s">
        <v>41</v>
      </c>
      <c r="F388" t="s">
        <v>57</v>
      </c>
      <c r="G388" t="s">
        <v>98</v>
      </c>
      <c r="H388" t="s">
        <v>6</v>
      </c>
      <c r="I388" t="s">
        <v>32</v>
      </c>
      <c r="J388">
        <v>505.68090000000001</v>
      </c>
      <c r="K388" t="s">
        <v>5</v>
      </c>
    </row>
    <row r="389" spans="1:11" x14ac:dyDescent="0.3">
      <c r="A389">
        <v>388</v>
      </c>
      <c r="B389">
        <v>48</v>
      </c>
      <c r="C389">
        <v>106</v>
      </c>
      <c r="D389" t="s">
        <v>217</v>
      </c>
      <c r="E389" t="s">
        <v>41</v>
      </c>
      <c r="F389" t="s">
        <v>102</v>
      </c>
      <c r="G389" t="s">
        <v>360</v>
      </c>
      <c r="H389" t="s">
        <v>390</v>
      </c>
      <c r="I389" t="s">
        <v>47</v>
      </c>
      <c r="J389">
        <v>647.15909999999997</v>
      </c>
      <c r="K389" t="s">
        <v>7</v>
      </c>
    </row>
    <row r="390" spans="1:11" x14ac:dyDescent="0.3">
      <c r="A390">
        <v>389</v>
      </c>
      <c r="B390">
        <v>84</v>
      </c>
      <c r="C390">
        <v>140</v>
      </c>
      <c r="D390" t="s">
        <v>60</v>
      </c>
      <c r="E390" t="s">
        <v>29</v>
      </c>
      <c r="F390" t="s">
        <v>97</v>
      </c>
      <c r="G390" t="s">
        <v>165</v>
      </c>
      <c r="H390" t="s">
        <v>6</v>
      </c>
      <c r="I390" t="s">
        <v>64</v>
      </c>
      <c r="J390">
        <v>-48.2012</v>
      </c>
      <c r="K390" t="s">
        <v>3</v>
      </c>
    </row>
    <row r="391" spans="1:11" x14ac:dyDescent="0.3">
      <c r="A391">
        <v>390</v>
      </c>
      <c r="B391">
        <v>22</v>
      </c>
      <c r="C391">
        <v>137</v>
      </c>
      <c r="D391" t="s">
        <v>109</v>
      </c>
      <c r="E391" t="s">
        <v>29</v>
      </c>
      <c r="F391" t="s">
        <v>118</v>
      </c>
      <c r="G391" t="s">
        <v>172</v>
      </c>
      <c r="H391" t="s">
        <v>390</v>
      </c>
      <c r="I391" t="s">
        <v>396</v>
      </c>
      <c r="J391">
        <v>-48.435899999999997</v>
      </c>
      <c r="K391" t="s">
        <v>3</v>
      </c>
    </row>
    <row r="392" spans="1:11" x14ac:dyDescent="0.3">
      <c r="A392">
        <v>391</v>
      </c>
      <c r="B392">
        <v>130</v>
      </c>
      <c r="C392">
        <v>135</v>
      </c>
      <c r="D392" t="s">
        <v>56</v>
      </c>
      <c r="E392" t="s">
        <v>29</v>
      </c>
      <c r="F392" t="s">
        <v>34</v>
      </c>
      <c r="G392" t="s">
        <v>323</v>
      </c>
      <c r="H392" t="s">
        <v>390</v>
      </c>
      <c r="I392" t="s">
        <v>399</v>
      </c>
      <c r="J392">
        <v>277.10289999999998</v>
      </c>
      <c r="K392" t="s">
        <v>7</v>
      </c>
    </row>
    <row r="393" spans="1:11" x14ac:dyDescent="0.3">
      <c r="A393">
        <v>392</v>
      </c>
      <c r="B393">
        <v>114</v>
      </c>
      <c r="C393">
        <v>128</v>
      </c>
      <c r="D393" t="s">
        <v>130</v>
      </c>
      <c r="E393" t="s">
        <v>389</v>
      </c>
      <c r="F393" t="s">
        <v>116</v>
      </c>
      <c r="G393" t="s">
        <v>345</v>
      </c>
      <c r="H393" t="s">
        <v>14</v>
      </c>
      <c r="I393" t="s">
        <v>399</v>
      </c>
      <c r="J393">
        <v>100.08759999999999</v>
      </c>
      <c r="K393" t="s">
        <v>5</v>
      </c>
    </row>
    <row r="394" spans="1:11" x14ac:dyDescent="0.3">
      <c r="A394">
        <v>393</v>
      </c>
      <c r="B394">
        <v>151</v>
      </c>
      <c r="C394">
        <v>117</v>
      </c>
      <c r="D394" t="s">
        <v>130</v>
      </c>
      <c r="E394" t="s">
        <v>389</v>
      </c>
      <c r="F394" t="s">
        <v>45</v>
      </c>
      <c r="G394" t="s">
        <v>202</v>
      </c>
      <c r="H394" t="s">
        <v>6</v>
      </c>
      <c r="I394" t="s">
        <v>47</v>
      </c>
      <c r="J394">
        <v>127.0641</v>
      </c>
      <c r="K394" t="s">
        <v>7</v>
      </c>
    </row>
    <row r="395" spans="1:11" x14ac:dyDescent="0.3">
      <c r="A395">
        <v>394</v>
      </c>
      <c r="B395">
        <v>118</v>
      </c>
      <c r="C395">
        <v>29</v>
      </c>
      <c r="D395" t="s">
        <v>197</v>
      </c>
      <c r="E395" t="s">
        <v>392</v>
      </c>
      <c r="F395" t="s">
        <v>111</v>
      </c>
      <c r="G395" t="s">
        <v>301</v>
      </c>
      <c r="H395" t="s">
        <v>390</v>
      </c>
      <c r="I395" t="s">
        <v>51</v>
      </c>
      <c r="J395">
        <v>-76.145700000000005</v>
      </c>
      <c r="K395" t="s">
        <v>391</v>
      </c>
    </row>
    <row r="396" spans="1:11" x14ac:dyDescent="0.3">
      <c r="A396">
        <v>395</v>
      </c>
      <c r="B396">
        <v>19</v>
      </c>
      <c r="C396">
        <v>131</v>
      </c>
      <c r="D396" t="s">
        <v>84</v>
      </c>
      <c r="E396" t="s">
        <v>41</v>
      </c>
      <c r="F396" t="s">
        <v>30</v>
      </c>
      <c r="G396" t="s">
        <v>308</v>
      </c>
      <c r="H396" t="s">
        <v>395</v>
      </c>
      <c r="I396" t="s">
        <v>402</v>
      </c>
      <c r="J396">
        <v>875.32640000000004</v>
      </c>
      <c r="K396" t="s">
        <v>3</v>
      </c>
    </row>
    <row r="397" spans="1:11" x14ac:dyDescent="0.3">
      <c r="A397">
        <v>396</v>
      </c>
      <c r="B397">
        <v>31</v>
      </c>
      <c r="C397">
        <v>22</v>
      </c>
      <c r="D397" t="s">
        <v>230</v>
      </c>
      <c r="E397" t="s">
        <v>392</v>
      </c>
      <c r="F397" t="s">
        <v>61</v>
      </c>
      <c r="G397" t="s">
        <v>361</v>
      </c>
      <c r="H397" t="s">
        <v>395</v>
      </c>
      <c r="I397" t="s">
        <v>51</v>
      </c>
      <c r="J397">
        <v>21.060400000000001</v>
      </c>
      <c r="K397" t="s">
        <v>3</v>
      </c>
    </row>
    <row r="398" spans="1:11" x14ac:dyDescent="0.3">
      <c r="A398">
        <v>397</v>
      </c>
      <c r="B398">
        <v>52</v>
      </c>
      <c r="C398">
        <v>150</v>
      </c>
      <c r="D398" t="s">
        <v>128</v>
      </c>
      <c r="E398" t="s">
        <v>389</v>
      </c>
      <c r="F398" t="s">
        <v>116</v>
      </c>
      <c r="G398" t="s">
        <v>119</v>
      </c>
      <c r="H398" t="s">
        <v>395</v>
      </c>
      <c r="I398" t="s">
        <v>402</v>
      </c>
      <c r="J398">
        <v>282.67739999999998</v>
      </c>
      <c r="K398" t="s">
        <v>7</v>
      </c>
    </row>
    <row r="399" spans="1:11" x14ac:dyDescent="0.3">
      <c r="A399">
        <v>398</v>
      </c>
      <c r="B399">
        <v>161</v>
      </c>
      <c r="C399">
        <v>85</v>
      </c>
      <c r="D399" t="s">
        <v>101</v>
      </c>
      <c r="E399" t="s">
        <v>389</v>
      </c>
      <c r="F399" t="s">
        <v>57</v>
      </c>
      <c r="G399" t="s">
        <v>247</v>
      </c>
      <c r="H399" t="s">
        <v>6</v>
      </c>
      <c r="I399" t="s">
        <v>398</v>
      </c>
      <c r="J399">
        <v>-265.76659999999998</v>
      </c>
      <c r="K399" t="s">
        <v>3</v>
      </c>
    </row>
    <row r="400" spans="1:11" x14ac:dyDescent="0.3">
      <c r="A400">
        <v>399</v>
      </c>
      <c r="B400">
        <v>119</v>
      </c>
      <c r="C400">
        <v>116</v>
      </c>
      <c r="D400" t="s">
        <v>120</v>
      </c>
      <c r="E400" t="s">
        <v>29</v>
      </c>
      <c r="F400" t="s">
        <v>61</v>
      </c>
      <c r="G400" t="s">
        <v>333</v>
      </c>
      <c r="H400" t="s">
        <v>395</v>
      </c>
      <c r="I400" t="s">
        <v>402</v>
      </c>
      <c r="J400">
        <v>656.40539999999999</v>
      </c>
      <c r="K400" t="s">
        <v>391</v>
      </c>
    </row>
    <row r="401" spans="1:11" x14ac:dyDescent="0.3">
      <c r="A401">
        <v>400</v>
      </c>
      <c r="B401">
        <v>30</v>
      </c>
      <c r="C401">
        <v>82</v>
      </c>
      <c r="D401" t="s">
        <v>113</v>
      </c>
      <c r="E401" t="s">
        <v>389</v>
      </c>
      <c r="F401" t="s">
        <v>87</v>
      </c>
      <c r="G401" t="s">
        <v>144</v>
      </c>
      <c r="H401" t="s">
        <v>13</v>
      </c>
      <c r="I401" t="s">
        <v>396</v>
      </c>
      <c r="J401">
        <v>59.463900000000002</v>
      </c>
      <c r="K401" t="s">
        <v>391</v>
      </c>
    </row>
    <row r="402" spans="1:11" x14ac:dyDescent="0.3">
      <c r="A402">
        <v>401</v>
      </c>
      <c r="B402">
        <v>7</v>
      </c>
      <c r="C402">
        <v>53</v>
      </c>
      <c r="D402" t="s">
        <v>244</v>
      </c>
      <c r="E402" t="s">
        <v>392</v>
      </c>
      <c r="F402" t="s">
        <v>97</v>
      </c>
      <c r="G402" t="s">
        <v>350</v>
      </c>
      <c r="H402" t="s">
        <v>14</v>
      </c>
      <c r="I402" t="s">
        <v>397</v>
      </c>
      <c r="J402">
        <v>49.212899999999998</v>
      </c>
      <c r="K402" t="s">
        <v>5</v>
      </c>
    </row>
    <row r="403" spans="1:11" x14ac:dyDescent="0.3">
      <c r="A403">
        <v>402</v>
      </c>
      <c r="B403">
        <v>91</v>
      </c>
      <c r="C403">
        <v>18</v>
      </c>
      <c r="D403" t="s">
        <v>126</v>
      </c>
      <c r="E403" t="s">
        <v>392</v>
      </c>
      <c r="F403" t="s">
        <v>160</v>
      </c>
      <c r="G403" t="s">
        <v>117</v>
      </c>
      <c r="H403" t="s">
        <v>393</v>
      </c>
      <c r="I403" t="s">
        <v>64</v>
      </c>
      <c r="J403">
        <v>649.32560000000001</v>
      </c>
      <c r="K403" t="s">
        <v>7</v>
      </c>
    </row>
    <row r="404" spans="1:11" x14ac:dyDescent="0.3">
      <c r="A404">
        <v>403</v>
      </c>
      <c r="B404">
        <v>29</v>
      </c>
      <c r="C404">
        <v>120</v>
      </c>
      <c r="D404" t="s">
        <v>81</v>
      </c>
      <c r="E404" t="s">
        <v>41</v>
      </c>
      <c r="F404" t="s">
        <v>57</v>
      </c>
      <c r="G404" t="s">
        <v>148</v>
      </c>
      <c r="H404" t="s">
        <v>14</v>
      </c>
      <c r="I404" t="s">
        <v>32</v>
      </c>
      <c r="J404">
        <v>634.02279999999996</v>
      </c>
      <c r="K404" t="s">
        <v>391</v>
      </c>
    </row>
    <row r="405" spans="1:11" x14ac:dyDescent="0.3">
      <c r="A405">
        <v>404</v>
      </c>
      <c r="B405">
        <v>169</v>
      </c>
      <c r="C405">
        <v>81</v>
      </c>
      <c r="D405" t="s">
        <v>52</v>
      </c>
      <c r="E405" t="s">
        <v>389</v>
      </c>
      <c r="F405" t="s">
        <v>73</v>
      </c>
      <c r="G405" t="s">
        <v>329</v>
      </c>
      <c r="H405" t="s">
        <v>390</v>
      </c>
      <c r="I405" t="s">
        <v>47</v>
      </c>
      <c r="J405">
        <v>-154.03890000000001</v>
      </c>
      <c r="K405" t="s">
        <v>3</v>
      </c>
    </row>
    <row r="406" spans="1:11" x14ac:dyDescent="0.3">
      <c r="A406">
        <v>405</v>
      </c>
      <c r="B406">
        <v>58</v>
      </c>
      <c r="C406">
        <v>118</v>
      </c>
      <c r="D406" t="s">
        <v>120</v>
      </c>
      <c r="E406" t="s">
        <v>389</v>
      </c>
      <c r="F406" t="s">
        <v>53</v>
      </c>
      <c r="G406" t="s">
        <v>169</v>
      </c>
      <c r="H406" t="s">
        <v>393</v>
      </c>
      <c r="I406" t="s">
        <v>55</v>
      </c>
      <c r="J406">
        <v>461.10359999999997</v>
      </c>
      <c r="K406" t="s">
        <v>3</v>
      </c>
    </row>
    <row r="407" spans="1:11" x14ac:dyDescent="0.3">
      <c r="A407">
        <v>406</v>
      </c>
      <c r="B407">
        <v>162</v>
      </c>
      <c r="C407">
        <v>93</v>
      </c>
      <c r="D407" t="s">
        <v>96</v>
      </c>
      <c r="E407" t="s">
        <v>41</v>
      </c>
      <c r="F407" t="s">
        <v>97</v>
      </c>
      <c r="G407" t="s">
        <v>209</v>
      </c>
      <c r="H407" t="s">
        <v>395</v>
      </c>
      <c r="I407" t="s">
        <v>402</v>
      </c>
      <c r="J407">
        <v>146.49590000000001</v>
      </c>
      <c r="K407" t="s">
        <v>7</v>
      </c>
    </row>
    <row r="408" spans="1:11" x14ac:dyDescent="0.3">
      <c r="A408">
        <v>407</v>
      </c>
      <c r="B408">
        <v>65</v>
      </c>
      <c r="C408">
        <v>103</v>
      </c>
      <c r="D408" t="s">
        <v>44</v>
      </c>
      <c r="E408" t="s">
        <v>392</v>
      </c>
      <c r="F408" t="s">
        <v>45</v>
      </c>
      <c r="G408" t="s">
        <v>50</v>
      </c>
      <c r="I408" t="s">
        <v>401</v>
      </c>
      <c r="J408">
        <v>-52.04</v>
      </c>
      <c r="K408" t="s">
        <v>391</v>
      </c>
    </row>
    <row r="409" spans="1:11" x14ac:dyDescent="0.3">
      <c r="A409">
        <v>408</v>
      </c>
      <c r="B409">
        <v>33</v>
      </c>
      <c r="C409">
        <v>4</v>
      </c>
      <c r="D409" t="s">
        <v>52</v>
      </c>
      <c r="E409" t="s">
        <v>29</v>
      </c>
      <c r="F409" t="s">
        <v>87</v>
      </c>
      <c r="G409" t="s">
        <v>210</v>
      </c>
      <c r="H409" t="s">
        <v>13</v>
      </c>
      <c r="I409" t="s">
        <v>51</v>
      </c>
      <c r="J409">
        <v>697.46889999999996</v>
      </c>
      <c r="K409" t="s">
        <v>7</v>
      </c>
    </row>
    <row r="410" spans="1:11" x14ac:dyDescent="0.3">
      <c r="A410">
        <v>409</v>
      </c>
      <c r="B410">
        <v>183</v>
      </c>
      <c r="C410">
        <v>150</v>
      </c>
      <c r="D410" t="s">
        <v>33</v>
      </c>
      <c r="E410" t="s">
        <v>29</v>
      </c>
      <c r="F410" t="s">
        <v>160</v>
      </c>
      <c r="G410" t="s">
        <v>133</v>
      </c>
      <c r="H410" t="s">
        <v>390</v>
      </c>
      <c r="I410" t="s">
        <v>40</v>
      </c>
      <c r="J410">
        <v>723.11189999999999</v>
      </c>
      <c r="K410" t="s">
        <v>3</v>
      </c>
    </row>
    <row r="411" spans="1:11" x14ac:dyDescent="0.3">
      <c r="A411">
        <v>410</v>
      </c>
      <c r="B411">
        <v>32</v>
      </c>
      <c r="C411">
        <v>64</v>
      </c>
      <c r="D411" t="s">
        <v>84</v>
      </c>
      <c r="E411" t="s">
        <v>389</v>
      </c>
      <c r="F411" t="s">
        <v>53</v>
      </c>
      <c r="G411" t="s">
        <v>325</v>
      </c>
      <c r="H411" t="s">
        <v>390</v>
      </c>
      <c r="I411" t="s">
        <v>399</v>
      </c>
      <c r="J411">
        <v>229.51169999999999</v>
      </c>
      <c r="K411" t="s">
        <v>5</v>
      </c>
    </row>
    <row r="412" spans="1:11" x14ac:dyDescent="0.3">
      <c r="A412">
        <v>411</v>
      </c>
      <c r="B412">
        <v>171</v>
      </c>
      <c r="C412">
        <v>115</v>
      </c>
      <c r="D412" t="s">
        <v>28</v>
      </c>
      <c r="E412" t="s">
        <v>29</v>
      </c>
      <c r="F412" t="s">
        <v>49</v>
      </c>
      <c r="G412" t="s">
        <v>352</v>
      </c>
      <c r="H412" t="s">
        <v>13</v>
      </c>
      <c r="I412" t="s">
        <v>36</v>
      </c>
      <c r="J412">
        <v>68.335300000000004</v>
      </c>
      <c r="K412" t="s">
        <v>7</v>
      </c>
    </row>
    <row r="413" spans="1:11" x14ac:dyDescent="0.3">
      <c r="A413">
        <v>412</v>
      </c>
      <c r="B413">
        <v>23</v>
      </c>
      <c r="C413">
        <v>111</v>
      </c>
      <c r="D413" t="s">
        <v>214</v>
      </c>
      <c r="E413" t="s">
        <v>389</v>
      </c>
      <c r="F413" t="s">
        <v>102</v>
      </c>
      <c r="G413" t="s">
        <v>362</v>
      </c>
      <c r="H413" t="s">
        <v>14</v>
      </c>
      <c r="I413" t="s">
        <v>32</v>
      </c>
      <c r="J413">
        <v>842.56870000000004</v>
      </c>
      <c r="K413" t="s">
        <v>391</v>
      </c>
    </row>
    <row r="414" spans="1:11" x14ac:dyDescent="0.3">
      <c r="A414">
        <v>413</v>
      </c>
      <c r="B414">
        <v>127</v>
      </c>
      <c r="C414">
        <v>101</v>
      </c>
      <c r="D414" t="s">
        <v>84</v>
      </c>
      <c r="E414" t="s">
        <v>29</v>
      </c>
      <c r="F414" t="s">
        <v>73</v>
      </c>
      <c r="G414" t="s">
        <v>363</v>
      </c>
      <c r="H414" t="s">
        <v>393</v>
      </c>
      <c r="I414" t="s">
        <v>64</v>
      </c>
      <c r="J414">
        <v>52.573999999999998</v>
      </c>
      <c r="K414" t="s">
        <v>391</v>
      </c>
    </row>
    <row r="415" spans="1:11" x14ac:dyDescent="0.3">
      <c r="A415">
        <v>414</v>
      </c>
      <c r="B415">
        <v>128</v>
      </c>
      <c r="C415">
        <v>27</v>
      </c>
      <c r="D415" t="s">
        <v>139</v>
      </c>
      <c r="E415" t="s">
        <v>41</v>
      </c>
      <c r="F415" t="s">
        <v>61</v>
      </c>
      <c r="G415" t="s">
        <v>342</v>
      </c>
      <c r="H415" t="s">
        <v>395</v>
      </c>
      <c r="I415" t="s">
        <v>59</v>
      </c>
      <c r="J415">
        <v>502.20069999999998</v>
      </c>
      <c r="K415" t="s">
        <v>3</v>
      </c>
    </row>
    <row r="416" spans="1:11" x14ac:dyDescent="0.3">
      <c r="A416">
        <v>415</v>
      </c>
      <c r="B416">
        <v>93</v>
      </c>
      <c r="C416">
        <v>46</v>
      </c>
      <c r="D416" t="s">
        <v>113</v>
      </c>
      <c r="E416" t="s">
        <v>392</v>
      </c>
      <c r="F416" t="s">
        <v>171</v>
      </c>
      <c r="G416" t="s">
        <v>119</v>
      </c>
      <c r="H416" t="s">
        <v>390</v>
      </c>
      <c r="I416" t="s">
        <v>36</v>
      </c>
      <c r="J416">
        <v>881.2441</v>
      </c>
      <c r="K416" t="s">
        <v>7</v>
      </c>
    </row>
    <row r="417" spans="1:11" x14ac:dyDescent="0.3">
      <c r="A417">
        <v>416</v>
      </c>
      <c r="B417">
        <v>98</v>
      </c>
      <c r="C417">
        <v>138</v>
      </c>
      <c r="D417" t="s">
        <v>91</v>
      </c>
      <c r="E417" t="s">
        <v>389</v>
      </c>
      <c r="F417" t="s">
        <v>61</v>
      </c>
      <c r="G417" t="s">
        <v>229</v>
      </c>
      <c r="I417" t="s">
        <v>32</v>
      </c>
      <c r="J417">
        <v>137.04509999999999</v>
      </c>
      <c r="K417" t="s">
        <v>3</v>
      </c>
    </row>
    <row r="418" spans="1:11" x14ac:dyDescent="0.3">
      <c r="A418">
        <v>417</v>
      </c>
      <c r="B418">
        <v>54</v>
      </c>
      <c r="C418">
        <v>3</v>
      </c>
      <c r="D418" t="s">
        <v>60</v>
      </c>
      <c r="E418" t="s">
        <v>41</v>
      </c>
      <c r="F418" t="s">
        <v>171</v>
      </c>
      <c r="G418" t="s">
        <v>364</v>
      </c>
      <c r="H418" t="s">
        <v>393</v>
      </c>
      <c r="I418" t="s">
        <v>59</v>
      </c>
      <c r="J418">
        <v>-71.841300000000004</v>
      </c>
      <c r="K418" t="s">
        <v>391</v>
      </c>
    </row>
    <row r="419" spans="1:11" x14ac:dyDescent="0.3">
      <c r="A419">
        <v>418</v>
      </c>
      <c r="B419">
        <v>191</v>
      </c>
      <c r="C419">
        <v>105</v>
      </c>
      <c r="D419" t="s">
        <v>37</v>
      </c>
      <c r="E419" t="s">
        <v>29</v>
      </c>
      <c r="F419" t="s">
        <v>171</v>
      </c>
      <c r="G419" t="s">
        <v>365</v>
      </c>
      <c r="I419" t="s">
        <v>55</v>
      </c>
      <c r="J419">
        <v>438.97129999999999</v>
      </c>
      <c r="K419" t="s">
        <v>391</v>
      </c>
    </row>
    <row r="420" spans="1:11" x14ac:dyDescent="0.3">
      <c r="A420">
        <v>419</v>
      </c>
      <c r="B420">
        <v>42</v>
      </c>
      <c r="C420">
        <v>123</v>
      </c>
      <c r="D420" t="s">
        <v>183</v>
      </c>
      <c r="E420" t="s">
        <v>41</v>
      </c>
      <c r="F420" t="s">
        <v>145</v>
      </c>
      <c r="G420" t="s">
        <v>358</v>
      </c>
      <c r="H420" t="s">
        <v>395</v>
      </c>
      <c r="I420" t="s">
        <v>397</v>
      </c>
      <c r="J420">
        <v>236.92920000000001</v>
      </c>
      <c r="K420" t="s">
        <v>7</v>
      </c>
    </row>
    <row r="421" spans="1:11" x14ac:dyDescent="0.3">
      <c r="A421">
        <v>420</v>
      </c>
      <c r="B421">
        <v>169</v>
      </c>
      <c r="C421">
        <v>102</v>
      </c>
      <c r="D421" t="s">
        <v>130</v>
      </c>
      <c r="E421" t="s">
        <v>392</v>
      </c>
      <c r="F421" t="s">
        <v>102</v>
      </c>
      <c r="G421" t="s">
        <v>309</v>
      </c>
      <c r="I421" t="s">
        <v>402</v>
      </c>
      <c r="J421">
        <v>520.78129999999999</v>
      </c>
      <c r="K421" t="s">
        <v>5</v>
      </c>
    </row>
    <row r="422" spans="1:11" x14ac:dyDescent="0.3">
      <c r="A422">
        <v>421</v>
      </c>
      <c r="B422">
        <v>195</v>
      </c>
      <c r="C422">
        <v>56</v>
      </c>
      <c r="D422" t="s">
        <v>142</v>
      </c>
      <c r="E422" t="s">
        <v>41</v>
      </c>
      <c r="F422" t="s">
        <v>94</v>
      </c>
      <c r="G422" t="s">
        <v>273</v>
      </c>
      <c r="H422" t="s">
        <v>393</v>
      </c>
      <c r="I422" t="s">
        <v>47</v>
      </c>
      <c r="J422">
        <v>294.92590000000001</v>
      </c>
      <c r="K422" t="s">
        <v>391</v>
      </c>
    </row>
    <row r="423" spans="1:11" x14ac:dyDescent="0.3">
      <c r="A423">
        <v>422</v>
      </c>
      <c r="B423">
        <v>60</v>
      </c>
      <c r="C423">
        <v>3</v>
      </c>
      <c r="D423" t="s">
        <v>183</v>
      </c>
      <c r="E423" t="s">
        <v>389</v>
      </c>
      <c r="F423" t="s">
        <v>53</v>
      </c>
      <c r="G423" t="s">
        <v>54</v>
      </c>
      <c r="H423" t="s">
        <v>390</v>
      </c>
      <c r="I423" t="s">
        <v>36</v>
      </c>
      <c r="J423">
        <v>127.8862</v>
      </c>
      <c r="K423" t="s">
        <v>3</v>
      </c>
    </row>
    <row r="424" spans="1:11" x14ac:dyDescent="0.3">
      <c r="A424">
        <v>423</v>
      </c>
      <c r="B424">
        <v>21</v>
      </c>
      <c r="C424">
        <v>5</v>
      </c>
      <c r="D424" t="s">
        <v>93</v>
      </c>
      <c r="E424" t="s">
        <v>41</v>
      </c>
      <c r="F424" t="s">
        <v>160</v>
      </c>
      <c r="G424" t="s">
        <v>246</v>
      </c>
      <c r="H424" t="s">
        <v>395</v>
      </c>
      <c r="I424" t="s">
        <v>64</v>
      </c>
      <c r="J424">
        <v>605.0865</v>
      </c>
      <c r="K424" t="s">
        <v>3</v>
      </c>
    </row>
    <row r="425" spans="1:11" x14ac:dyDescent="0.3">
      <c r="A425">
        <v>424</v>
      </c>
      <c r="B425">
        <v>191</v>
      </c>
      <c r="C425">
        <v>10</v>
      </c>
      <c r="D425" t="s">
        <v>211</v>
      </c>
      <c r="E425" t="s">
        <v>392</v>
      </c>
      <c r="F425" t="s">
        <v>73</v>
      </c>
      <c r="G425" t="s">
        <v>180</v>
      </c>
      <c r="H425" t="s">
        <v>393</v>
      </c>
      <c r="I425" t="s">
        <v>36</v>
      </c>
      <c r="J425">
        <v>-49.531799999999997</v>
      </c>
      <c r="K425" t="s">
        <v>7</v>
      </c>
    </row>
    <row r="426" spans="1:11" x14ac:dyDescent="0.3">
      <c r="A426">
        <v>425</v>
      </c>
      <c r="B426">
        <v>166</v>
      </c>
      <c r="C426">
        <v>59</v>
      </c>
      <c r="D426" t="s">
        <v>96</v>
      </c>
      <c r="E426" t="s">
        <v>389</v>
      </c>
      <c r="F426" t="s">
        <v>61</v>
      </c>
      <c r="G426" t="s">
        <v>193</v>
      </c>
      <c r="H426" t="s">
        <v>395</v>
      </c>
      <c r="I426" t="s">
        <v>397</v>
      </c>
      <c r="J426">
        <v>-15.394600000000001</v>
      </c>
      <c r="K426" t="s">
        <v>7</v>
      </c>
    </row>
    <row r="427" spans="1:11" x14ac:dyDescent="0.3">
      <c r="A427">
        <v>426</v>
      </c>
      <c r="B427">
        <v>55</v>
      </c>
      <c r="C427">
        <v>113</v>
      </c>
      <c r="D427" t="s">
        <v>89</v>
      </c>
      <c r="E427" t="s">
        <v>29</v>
      </c>
      <c r="F427" t="s">
        <v>45</v>
      </c>
      <c r="G427" t="s">
        <v>366</v>
      </c>
      <c r="H427" t="s">
        <v>395</v>
      </c>
      <c r="I427" t="s">
        <v>394</v>
      </c>
      <c r="J427">
        <v>354.79910000000001</v>
      </c>
      <c r="K427" t="s">
        <v>391</v>
      </c>
    </row>
    <row r="428" spans="1:11" x14ac:dyDescent="0.3">
      <c r="A428">
        <v>427</v>
      </c>
      <c r="B428">
        <v>155</v>
      </c>
      <c r="C428">
        <v>62</v>
      </c>
      <c r="D428" t="s">
        <v>101</v>
      </c>
      <c r="E428" t="s">
        <v>392</v>
      </c>
      <c r="F428" t="s">
        <v>116</v>
      </c>
      <c r="G428" t="s">
        <v>231</v>
      </c>
      <c r="H428" t="s">
        <v>390</v>
      </c>
      <c r="I428" t="s">
        <v>394</v>
      </c>
      <c r="J428">
        <v>69.934600000000003</v>
      </c>
      <c r="K428" t="s">
        <v>5</v>
      </c>
    </row>
    <row r="429" spans="1:11" x14ac:dyDescent="0.3">
      <c r="A429">
        <v>428</v>
      </c>
      <c r="B429">
        <v>156</v>
      </c>
      <c r="C429">
        <v>11</v>
      </c>
      <c r="D429" t="s">
        <v>147</v>
      </c>
      <c r="E429" t="s">
        <v>392</v>
      </c>
      <c r="F429" t="s">
        <v>116</v>
      </c>
      <c r="G429" t="s">
        <v>367</v>
      </c>
      <c r="H429" t="s">
        <v>6</v>
      </c>
      <c r="I429" t="s">
        <v>40</v>
      </c>
      <c r="J429">
        <v>15.882</v>
      </c>
      <c r="K429" t="s">
        <v>7</v>
      </c>
    </row>
    <row r="430" spans="1:11" x14ac:dyDescent="0.3">
      <c r="A430">
        <v>429</v>
      </c>
      <c r="B430">
        <v>187</v>
      </c>
      <c r="C430">
        <v>57</v>
      </c>
      <c r="D430" t="s">
        <v>89</v>
      </c>
      <c r="E430" t="s">
        <v>392</v>
      </c>
      <c r="F430" t="s">
        <v>145</v>
      </c>
      <c r="G430" t="s">
        <v>268</v>
      </c>
      <c r="H430" t="s">
        <v>13</v>
      </c>
      <c r="I430" t="s">
        <v>47</v>
      </c>
      <c r="J430">
        <v>28.459700000000002</v>
      </c>
      <c r="K430" t="s">
        <v>391</v>
      </c>
    </row>
    <row r="431" spans="1:11" x14ac:dyDescent="0.3">
      <c r="A431">
        <v>430</v>
      </c>
      <c r="B431">
        <v>79</v>
      </c>
      <c r="C431">
        <v>16</v>
      </c>
      <c r="D431" t="s">
        <v>28</v>
      </c>
      <c r="E431" t="s">
        <v>392</v>
      </c>
      <c r="F431" t="s">
        <v>118</v>
      </c>
      <c r="G431" t="s">
        <v>306</v>
      </c>
      <c r="H431" t="s">
        <v>6</v>
      </c>
      <c r="I431" t="s">
        <v>55</v>
      </c>
      <c r="J431">
        <v>345.41129999999998</v>
      </c>
      <c r="K431" t="s">
        <v>3</v>
      </c>
    </row>
    <row r="432" spans="1:11" x14ac:dyDescent="0.3">
      <c r="A432">
        <v>431</v>
      </c>
      <c r="B432">
        <v>197</v>
      </c>
      <c r="C432">
        <v>96</v>
      </c>
      <c r="D432" t="s">
        <v>70</v>
      </c>
      <c r="E432" t="s">
        <v>392</v>
      </c>
      <c r="F432" t="s">
        <v>38</v>
      </c>
      <c r="G432" t="s">
        <v>202</v>
      </c>
      <c r="H432" t="s">
        <v>395</v>
      </c>
      <c r="I432" t="s">
        <v>36</v>
      </c>
      <c r="J432">
        <v>218.51599999999999</v>
      </c>
      <c r="K432" t="s">
        <v>7</v>
      </c>
    </row>
    <row r="433" spans="1:11" x14ac:dyDescent="0.3">
      <c r="A433">
        <v>432</v>
      </c>
      <c r="B433">
        <v>191</v>
      </c>
      <c r="C433">
        <v>65</v>
      </c>
      <c r="D433" t="s">
        <v>89</v>
      </c>
      <c r="E433" t="s">
        <v>29</v>
      </c>
      <c r="F433" t="s">
        <v>87</v>
      </c>
      <c r="G433" t="s">
        <v>368</v>
      </c>
      <c r="H433" t="s">
        <v>14</v>
      </c>
      <c r="I433" t="s">
        <v>64</v>
      </c>
      <c r="J433">
        <v>696.08249999999998</v>
      </c>
      <c r="K433" t="s">
        <v>391</v>
      </c>
    </row>
    <row r="434" spans="1:11" x14ac:dyDescent="0.3">
      <c r="A434">
        <v>433</v>
      </c>
      <c r="B434">
        <v>129</v>
      </c>
      <c r="C434">
        <v>8</v>
      </c>
      <c r="D434" t="s">
        <v>120</v>
      </c>
      <c r="E434" t="s">
        <v>389</v>
      </c>
      <c r="F434" t="s">
        <v>151</v>
      </c>
      <c r="G434" t="s">
        <v>251</v>
      </c>
      <c r="H434" t="s">
        <v>13</v>
      </c>
      <c r="I434" t="s">
        <v>47</v>
      </c>
      <c r="J434">
        <v>-115.9387</v>
      </c>
      <c r="K434" t="s">
        <v>5</v>
      </c>
    </row>
    <row r="435" spans="1:11" x14ac:dyDescent="0.3">
      <c r="A435">
        <v>434</v>
      </c>
      <c r="B435">
        <v>149</v>
      </c>
      <c r="C435">
        <v>150</v>
      </c>
      <c r="D435" t="s">
        <v>154</v>
      </c>
      <c r="E435" t="s">
        <v>392</v>
      </c>
      <c r="F435" t="s">
        <v>102</v>
      </c>
      <c r="G435" t="s">
        <v>369</v>
      </c>
      <c r="H435" t="s">
        <v>6</v>
      </c>
      <c r="I435" t="s">
        <v>400</v>
      </c>
      <c r="J435">
        <v>-42.471699999999998</v>
      </c>
      <c r="K435" t="s">
        <v>3</v>
      </c>
    </row>
    <row r="436" spans="1:11" x14ac:dyDescent="0.3">
      <c r="A436">
        <v>435</v>
      </c>
      <c r="B436">
        <v>50</v>
      </c>
      <c r="C436">
        <v>32</v>
      </c>
      <c r="D436" t="s">
        <v>96</v>
      </c>
      <c r="E436" t="s">
        <v>29</v>
      </c>
      <c r="F436" t="s">
        <v>71</v>
      </c>
      <c r="G436" t="s">
        <v>336</v>
      </c>
      <c r="H436" t="s">
        <v>6</v>
      </c>
      <c r="I436" t="s">
        <v>40</v>
      </c>
      <c r="J436">
        <v>272.9402</v>
      </c>
      <c r="K436" t="s">
        <v>391</v>
      </c>
    </row>
    <row r="437" spans="1:11" x14ac:dyDescent="0.3">
      <c r="A437">
        <v>436</v>
      </c>
      <c r="B437">
        <v>140</v>
      </c>
      <c r="C437">
        <v>25</v>
      </c>
      <c r="D437" t="s">
        <v>93</v>
      </c>
      <c r="E437" t="s">
        <v>29</v>
      </c>
      <c r="F437" t="s">
        <v>61</v>
      </c>
      <c r="G437" t="s">
        <v>137</v>
      </c>
      <c r="H437" t="s">
        <v>395</v>
      </c>
      <c r="I437" t="s">
        <v>36</v>
      </c>
      <c r="J437">
        <v>750.29740000000004</v>
      </c>
      <c r="K437" t="s">
        <v>5</v>
      </c>
    </row>
    <row r="438" spans="1:11" x14ac:dyDescent="0.3">
      <c r="A438">
        <v>437</v>
      </c>
      <c r="B438">
        <v>158</v>
      </c>
      <c r="C438">
        <v>93</v>
      </c>
      <c r="D438" t="s">
        <v>142</v>
      </c>
      <c r="E438" t="s">
        <v>41</v>
      </c>
      <c r="F438" t="s">
        <v>111</v>
      </c>
      <c r="G438" t="s">
        <v>370</v>
      </c>
      <c r="H438" t="s">
        <v>395</v>
      </c>
      <c r="I438" t="s">
        <v>47</v>
      </c>
      <c r="J438">
        <v>268.58390000000003</v>
      </c>
      <c r="K438" t="s">
        <v>5</v>
      </c>
    </row>
    <row r="439" spans="1:11" x14ac:dyDescent="0.3">
      <c r="A439">
        <v>438</v>
      </c>
      <c r="B439">
        <v>142</v>
      </c>
      <c r="C439">
        <v>122</v>
      </c>
      <c r="D439" t="s">
        <v>60</v>
      </c>
      <c r="E439" t="s">
        <v>389</v>
      </c>
      <c r="F439" t="s">
        <v>97</v>
      </c>
      <c r="G439" t="s">
        <v>371</v>
      </c>
      <c r="H439" t="s">
        <v>393</v>
      </c>
      <c r="I439" t="s">
        <v>59</v>
      </c>
      <c r="J439">
        <v>216.01060000000001</v>
      </c>
      <c r="K439" t="s">
        <v>5</v>
      </c>
    </row>
    <row r="440" spans="1:11" x14ac:dyDescent="0.3">
      <c r="A440">
        <v>439</v>
      </c>
      <c r="B440">
        <v>10</v>
      </c>
      <c r="C440">
        <v>5</v>
      </c>
      <c r="D440" t="s">
        <v>60</v>
      </c>
      <c r="E440" t="s">
        <v>29</v>
      </c>
      <c r="F440" t="s">
        <v>66</v>
      </c>
      <c r="G440" t="s">
        <v>323</v>
      </c>
      <c r="H440" t="s">
        <v>395</v>
      </c>
      <c r="I440" t="s">
        <v>64</v>
      </c>
      <c r="J440">
        <v>625.23009999999999</v>
      </c>
      <c r="K440" t="s">
        <v>5</v>
      </c>
    </row>
    <row r="441" spans="1:11" x14ac:dyDescent="0.3">
      <c r="A441">
        <v>440</v>
      </c>
      <c r="B441">
        <v>16</v>
      </c>
      <c r="C441">
        <v>101</v>
      </c>
      <c r="D441" t="s">
        <v>130</v>
      </c>
      <c r="E441" t="s">
        <v>389</v>
      </c>
      <c r="F441" t="s">
        <v>94</v>
      </c>
      <c r="G441" t="s">
        <v>202</v>
      </c>
      <c r="H441" t="s">
        <v>6</v>
      </c>
      <c r="I441" t="s">
        <v>40</v>
      </c>
      <c r="J441">
        <v>561.62599999999998</v>
      </c>
      <c r="K441" t="s">
        <v>3</v>
      </c>
    </row>
    <row r="442" spans="1:11" x14ac:dyDescent="0.3">
      <c r="A442">
        <v>441</v>
      </c>
      <c r="B442">
        <v>151</v>
      </c>
      <c r="C442">
        <v>10</v>
      </c>
      <c r="D442" t="s">
        <v>89</v>
      </c>
      <c r="E442" t="s">
        <v>29</v>
      </c>
      <c r="F442" t="s">
        <v>104</v>
      </c>
      <c r="G442" t="s">
        <v>372</v>
      </c>
      <c r="I442" t="s">
        <v>59</v>
      </c>
      <c r="J442">
        <v>198.31469999999999</v>
      </c>
      <c r="K442" t="s">
        <v>7</v>
      </c>
    </row>
    <row r="443" spans="1:11" x14ac:dyDescent="0.3">
      <c r="A443">
        <v>442</v>
      </c>
      <c r="B443">
        <v>119</v>
      </c>
      <c r="C443">
        <v>80</v>
      </c>
      <c r="D443" t="s">
        <v>56</v>
      </c>
      <c r="E443" t="s">
        <v>392</v>
      </c>
      <c r="F443" t="s">
        <v>94</v>
      </c>
      <c r="G443" t="s">
        <v>359</v>
      </c>
      <c r="H443" t="s">
        <v>395</v>
      </c>
      <c r="I443" t="s">
        <v>402</v>
      </c>
      <c r="J443">
        <v>41.808</v>
      </c>
      <c r="K443" t="s">
        <v>391</v>
      </c>
    </row>
    <row r="444" spans="1:11" x14ac:dyDescent="0.3">
      <c r="A444">
        <v>443</v>
      </c>
      <c r="B444">
        <v>97</v>
      </c>
      <c r="C444">
        <v>63</v>
      </c>
      <c r="D444" t="s">
        <v>142</v>
      </c>
      <c r="E444" t="s">
        <v>29</v>
      </c>
      <c r="F444" t="s">
        <v>102</v>
      </c>
      <c r="G444" t="s">
        <v>150</v>
      </c>
      <c r="H444" t="s">
        <v>13</v>
      </c>
      <c r="I444" t="s">
        <v>55</v>
      </c>
      <c r="J444">
        <v>14.260400000000001</v>
      </c>
      <c r="K444" t="s">
        <v>3</v>
      </c>
    </row>
    <row r="445" spans="1:11" x14ac:dyDescent="0.3">
      <c r="A445">
        <v>444</v>
      </c>
      <c r="B445">
        <v>145</v>
      </c>
      <c r="C445">
        <v>97</v>
      </c>
      <c r="D445" t="s">
        <v>28</v>
      </c>
      <c r="E445" t="s">
        <v>41</v>
      </c>
      <c r="F445" t="s">
        <v>116</v>
      </c>
      <c r="G445" t="s">
        <v>373</v>
      </c>
      <c r="H445" t="s">
        <v>14</v>
      </c>
      <c r="I445" t="s">
        <v>402</v>
      </c>
      <c r="J445">
        <v>320.67250000000001</v>
      </c>
      <c r="K445" t="s">
        <v>5</v>
      </c>
    </row>
    <row r="446" spans="1:11" x14ac:dyDescent="0.3">
      <c r="A446">
        <v>445</v>
      </c>
      <c r="B446">
        <v>99</v>
      </c>
      <c r="C446">
        <v>150</v>
      </c>
      <c r="D446" t="s">
        <v>176</v>
      </c>
      <c r="E446" t="s">
        <v>41</v>
      </c>
      <c r="F446" t="s">
        <v>49</v>
      </c>
      <c r="G446" t="s">
        <v>58</v>
      </c>
      <c r="H446" t="s">
        <v>393</v>
      </c>
      <c r="I446" t="s">
        <v>55</v>
      </c>
      <c r="J446">
        <v>335.90519999999998</v>
      </c>
      <c r="K446" t="s">
        <v>3</v>
      </c>
    </row>
    <row r="447" spans="1:11" x14ac:dyDescent="0.3">
      <c r="A447">
        <v>446</v>
      </c>
      <c r="B447">
        <v>59</v>
      </c>
      <c r="C447">
        <v>101</v>
      </c>
      <c r="D447" t="s">
        <v>162</v>
      </c>
      <c r="E447" t="s">
        <v>29</v>
      </c>
      <c r="F447" t="s">
        <v>111</v>
      </c>
      <c r="G447" t="s">
        <v>374</v>
      </c>
      <c r="H447" t="s">
        <v>395</v>
      </c>
      <c r="I447" t="s">
        <v>40</v>
      </c>
      <c r="J447">
        <v>-101.4098</v>
      </c>
      <c r="K447" t="s">
        <v>7</v>
      </c>
    </row>
    <row r="448" spans="1:11" x14ac:dyDescent="0.3">
      <c r="A448">
        <v>447</v>
      </c>
      <c r="B448">
        <v>77</v>
      </c>
      <c r="C448">
        <v>141</v>
      </c>
      <c r="D448" t="s">
        <v>33</v>
      </c>
      <c r="E448" t="s">
        <v>41</v>
      </c>
      <c r="F448" t="s">
        <v>107</v>
      </c>
      <c r="G448" t="s">
        <v>375</v>
      </c>
      <c r="H448" t="s">
        <v>6</v>
      </c>
      <c r="I448" t="s">
        <v>64</v>
      </c>
      <c r="J448">
        <v>487.64760000000001</v>
      </c>
      <c r="K448" t="s">
        <v>3</v>
      </c>
    </row>
    <row r="449" spans="1:11" x14ac:dyDescent="0.3">
      <c r="A449">
        <v>448</v>
      </c>
      <c r="B449">
        <v>133</v>
      </c>
      <c r="C449">
        <v>104</v>
      </c>
      <c r="D449" t="s">
        <v>185</v>
      </c>
      <c r="E449" t="s">
        <v>392</v>
      </c>
      <c r="F449" t="s">
        <v>135</v>
      </c>
      <c r="G449" t="s">
        <v>376</v>
      </c>
      <c r="H449" t="s">
        <v>393</v>
      </c>
      <c r="I449" t="s">
        <v>55</v>
      </c>
      <c r="J449">
        <v>-74.623000000000005</v>
      </c>
      <c r="K449" t="s">
        <v>391</v>
      </c>
    </row>
    <row r="450" spans="1:11" x14ac:dyDescent="0.3">
      <c r="A450">
        <v>449</v>
      </c>
      <c r="B450">
        <v>113</v>
      </c>
      <c r="C450">
        <v>131</v>
      </c>
      <c r="D450" t="s">
        <v>312</v>
      </c>
      <c r="E450" t="s">
        <v>41</v>
      </c>
      <c r="F450" t="s">
        <v>104</v>
      </c>
      <c r="G450" t="s">
        <v>377</v>
      </c>
      <c r="H450" t="s">
        <v>13</v>
      </c>
      <c r="I450" t="s">
        <v>47</v>
      </c>
      <c r="J450">
        <v>413.75779999999997</v>
      </c>
      <c r="K450" t="s">
        <v>5</v>
      </c>
    </row>
    <row r="451" spans="1:11" x14ac:dyDescent="0.3">
      <c r="A451">
        <v>450</v>
      </c>
      <c r="B451">
        <v>185</v>
      </c>
      <c r="C451">
        <v>31</v>
      </c>
      <c r="D451" t="s">
        <v>126</v>
      </c>
      <c r="E451" t="s">
        <v>41</v>
      </c>
      <c r="F451" t="s">
        <v>49</v>
      </c>
      <c r="G451" t="s">
        <v>378</v>
      </c>
      <c r="H451" t="s">
        <v>6</v>
      </c>
      <c r="I451" t="s">
        <v>59</v>
      </c>
      <c r="J451">
        <v>516.97379999999998</v>
      </c>
      <c r="K451" t="s">
        <v>391</v>
      </c>
    </row>
    <row r="452" spans="1:11" x14ac:dyDescent="0.3">
      <c r="A452">
        <v>451</v>
      </c>
      <c r="B452">
        <v>100</v>
      </c>
      <c r="C452">
        <v>89</v>
      </c>
      <c r="D452" t="s">
        <v>158</v>
      </c>
      <c r="E452" t="s">
        <v>29</v>
      </c>
      <c r="F452" t="s">
        <v>160</v>
      </c>
      <c r="G452" t="s">
        <v>330</v>
      </c>
      <c r="H452" t="s">
        <v>6</v>
      </c>
      <c r="I452" t="s">
        <v>399</v>
      </c>
      <c r="J452">
        <v>772.51300000000003</v>
      </c>
      <c r="K452" t="s">
        <v>5</v>
      </c>
    </row>
    <row r="453" spans="1:11" x14ac:dyDescent="0.3">
      <c r="A453">
        <v>452</v>
      </c>
      <c r="B453">
        <v>90</v>
      </c>
      <c r="C453">
        <v>100</v>
      </c>
      <c r="D453" t="s">
        <v>91</v>
      </c>
      <c r="E453" t="s">
        <v>29</v>
      </c>
      <c r="F453" t="s">
        <v>171</v>
      </c>
      <c r="G453" t="s">
        <v>164</v>
      </c>
      <c r="H453" t="s">
        <v>395</v>
      </c>
      <c r="I453" t="s">
        <v>397</v>
      </c>
      <c r="J453">
        <v>-265.10730000000001</v>
      </c>
      <c r="K453" t="s">
        <v>5</v>
      </c>
    </row>
    <row r="454" spans="1:11" x14ac:dyDescent="0.3">
      <c r="A454">
        <v>453</v>
      </c>
      <c r="B454">
        <v>186</v>
      </c>
      <c r="C454">
        <v>35</v>
      </c>
      <c r="D454" t="s">
        <v>33</v>
      </c>
      <c r="E454" t="s">
        <v>392</v>
      </c>
      <c r="F454" t="s">
        <v>57</v>
      </c>
      <c r="G454" t="s">
        <v>79</v>
      </c>
      <c r="H454" t="s">
        <v>395</v>
      </c>
      <c r="I454" t="s">
        <v>402</v>
      </c>
      <c r="J454">
        <v>751.71759999999995</v>
      </c>
      <c r="K454" t="s">
        <v>391</v>
      </c>
    </row>
    <row r="455" spans="1:11" x14ac:dyDescent="0.3">
      <c r="A455">
        <v>454</v>
      </c>
      <c r="B455">
        <v>109</v>
      </c>
      <c r="C455">
        <v>1</v>
      </c>
      <c r="D455" t="s">
        <v>179</v>
      </c>
      <c r="E455" t="s">
        <v>29</v>
      </c>
      <c r="F455" t="s">
        <v>87</v>
      </c>
      <c r="G455" t="s">
        <v>210</v>
      </c>
      <c r="H455" t="s">
        <v>14</v>
      </c>
      <c r="I455" t="s">
        <v>32</v>
      </c>
      <c r="J455">
        <v>-196.24629999999999</v>
      </c>
      <c r="K455" t="s">
        <v>3</v>
      </c>
    </row>
    <row r="456" spans="1:11" x14ac:dyDescent="0.3">
      <c r="A456">
        <v>455</v>
      </c>
      <c r="B456">
        <v>158</v>
      </c>
      <c r="C456">
        <v>11</v>
      </c>
      <c r="D456" t="s">
        <v>312</v>
      </c>
      <c r="E456" t="s">
        <v>392</v>
      </c>
      <c r="F456" t="s">
        <v>107</v>
      </c>
      <c r="G456" t="s">
        <v>58</v>
      </c>
      <c r="H456" t="s">
        <v>390</v>
      </c>
      <c r="I456" t="s">
        <v>32</v>
      </c>
      <c r="J456">
        <v>411.00389999999999</v>
      </c>
      <c r="K456" t="s">
        <v>391</v>
      </c>
    </row>
    <row r="457" spans="1:11" x14ac:dyDescent="0.3">
      <c r="A457">
        <v>456</v>
      </c>
      <c r="B457">
        <v>96</v>
      </c>
      <c r="C457">
        <v>34</v>
      </c>
      <c r="D457" t="s">
        <v>312</v>
      </c>
      <c r="E457" t="s">
        <v>392</v>
      </c>
      <c r="F457" t="s">
        <v>87</v>
      </c>
      <c r="G457" t="s">
        <v>379</v>
      </c>
      <c r="H457" t="s">
        <v>395</v>
      </c>
      <c r="I457" t="s">
        <v>32</v>
      </c>
      <c r="J457">
        <v>-146.6465</v>
      </c>
      <c r="K457" t="s">
        <v>7</v>
      </c>
    </row>
    <row r="458" spans="1:11" x14ac:dyDescent="0.3">
      <c r="A458">
        <v>457</v>
      </c>
      <c r="B458">
        <v>91</v>
      </c>
      <c r="C458">
        <v>43</v>
      </c>
      <c r="D458" t="s">
        <v>28</v>
      </c>
      <c r="E458" t="s">
        <v>392</v>
      </c>
      <c r="F458" t="s">
        <v>87</v>
      </c>
      <c r="G458" t="s">
        <v>260</v>
      </c>
      <c r="H458" t="s">
        <v>395</v>
      </c>
      <c r="I458" t="s">
        <v>64</v>
      </c>
      <c r="J458">
        <v>887.30089999999996</v>
      </c>
      <c r="K458" t="s">
        <v>3</v>
      </c>
    </row>
    <row r="459" spans="1:11" x14ac:dyDescent="0.3">
      <c r="A459">
        <v>458</v>
      </c>
      <c r="B459">
        <v>84</v>
      </c>
      <c r="C459">
        <v>48</v>
      </c>
      <c r="D459" t="s">
        <v>60</v>
      </c>
      <c r="E459" t="s">
        <v>389</v>
      </c>
      <c r="F459" t="s">
        <v>49</v>
      </c>
      <c r="G459" t="s">
        <v>173</v>
      </c>
      <c r="H459" t="s">
        <v>393</v>
      </c>
      <c r="I459" t="s">
        <v>399</v>
      </c>
      <c r="J459">
        <v>548.89779999999996</v>
      </c>
      <c r="K459" t="s">
        <v>7</v>
      </c>
    </row>
    <row r="460" spans="1:11" x14ac:dyDescent="0.3">
      <c r="A460">
        <v>459</v>
      </c>
      <c r="B460">
        <v>130</v>
      </c>
      <c r="C460">
        <v>123</v>
      </c>
      <c r="D460" t="s">
        <v>56</v>
      </c>
      <c r="E460" t="s">
        <v>389</v>
      </c>
      <c r="F460" t="s">
        <v>30</v>
      </c>
      <c r="G460" t="s">
        <v>295</v>
      </c>
      <c r="H460" t="s">
        <v>6</v>
      </c>
      <c r="I460" t="s">
        <v>51</v>
      </c>
      <c r="J460">
        <v>-278.65839999999997</v>
      </c>
      <c r="K460" t="s">
        <v>3</v>
      </c>
    </row>
    <row r="461" spans="1:11" x14ac:dyDescent="0.3">
      <c r="A461">
        <v>460</v>
      </c>
      <c r="B461">
        <v>183</v>
      </c>
      <c r="C461">
        <v>94</v>
      </c>
      <c r="D461" t="s">
        <v>185</v>
      </c>
      <c r="E461" t="s">
        <v>389</v>
      </c>
      <c r="F461" t="s">
        <v>102</v>
      </c>
      <c r="G461" t="s">
        <v>133</v>
      </c>
      <c r="H461" t="s">
        <v>395</v>
      </c>
      <c r="I461" t="s">
        <v>401</v>
      </c>
      <c r="J461">
        <v>87.957400000000007</v>
      </c>
      <c r="K461" t="s">
        <v>391</v>
      </c>
    </row>
    <row r="462" spans="1:11" x14ac:dyDescent="0.3">
      <c r="A462">
        <v>461</v>
      </c>
      <c r="B462">
        <v>193</v>
      </c>
      <c r="C462">
        <v>128</v>
      </c>
      <c r="D462" t="s">
        <v>149</v>
      </c>
      <c r="E462" t="s">
        <v>41</v>
      </c>
      <c r="F462" t="s">
        <v>111</v>
      </c>
      <c r="G462" t="s">
        <v>223</v>
      </c>
      <c r="H462" t="s">
        <v>6</v>
      </c>
      <c r="I462" t="s">
        <v>400</v>
      </c>
      <c r="J462">
        <v>916.63469999999995</v>
      </c>
      <c r="K462" t="s">
        <v>391</v>
      </c>
    </row>
    <row r="463" spans="1:11" x14ac:dyDescent="0.3">
      <c r="A463">
        <v>462</v>
      </c>
      <c r="B463">
        <v>33</v>
      </c>
      <c r="C463">
        <v>67</v>
      </c>
      <c r="D463" t="s">
        <v>60</v>
      </c>
      <c r="E463" t="s">
        <v>389</v>
      </c>
      <c r="F463" t="s">
        <v>53</v>
      </c>
      <c r="G463" t="s">
        <v>105</v>
      </c>
      <c r="H463" t="s">
        <v>390</v>
      </c>
      <c r="I463" t="s">
        <v>59</v>
      </c>
      <c r="J463">
        <v>896.42859999999996</v>
      </c>
      <c r="K463" t="s">
        <v>3</v>
      </c>
    </row>
    <row r="464" spans="1:11" x14ac:dyDescent="0.3">
      <c r="A464">
        <v>463</v>
      </c>
      <c r="B464">
        <v>63</v>
      </c>
      <c r="C464">
        <v>115</v>
      </c>
      <c r="D464" t="s">
        <v>179</v>
      </c>
      <c r="E464" t="s">
        <v>29</v>
      </c>
      <c r="F464" t="s">
        <v>151</v>
      </c>
      <c r="G464" t="s">
        <v>69</v>
      </c>
      <c r="H464" t="s">
        <v>13</v>
      </c>
      <c r="I464" t="s">
        <v>55</v>
      </c>
      <c r="J464">
        <v>199.376</v>
      </c>
      <c r="K464" t="s">
        <v>391</v>
      </c>
    </row>
    <row r="465" spans="1:11" x14ac:dyDescent="0.3">
      <c r="A465">
        <v>464</v>
      </c>
      <c r="B465">
        <v>86</v>
      </c>
      <c r="C465">
        <v>24</v>
      </c>
      <c r="D465" t="s">
        <v>84</v>
      </c>
      <c r="E465" t="s">
        <v>389</v>
      </c>
      <c r="F465" t="s">
        <v>151</v>
      </c>
      <c r="G465" t="s">
        <v>192</v>
      </c>
      <c r="H465" t="s">
        <v>14</v>
      </c>
      <c r="I465" t="s">
        <v>47</v>
      </c>
      <c r="J465">
        <v>538.90639999999996</v>
      </c>
      <c r="K465" t="s">
        <v>5</v>
      </c>
    </row>
    <row r="466" spans="1:11" x14ac:dyDescent="0.3">
      <c r="A466">
        <v>465</v>
      </c>
      <c r="B466">
        <v>199</v>
      </c>
      <c r="C466">
        <v>35</v>
      </c>
      <c r="D466" t="s">
        <v>230</v>
      </c>
      <c r="E466" t="s">
        <v>29</v>
      </c>
      <c r="F466" t="s">
        <v>61</v>
      </c>
      <c r="G466" t="s">
        <v>292</v>
      </c>
      <c r="I466" t="s">
        <v>55</v>
      </c>
      <c r="J466">
        <v>38.111499999999999</v>
      </c>
      <c r="K466" t="s">
        <v>7</v>
      </c>
    </row>
    <row r="467" spans="1:11" x14ac:dyDescent="0.3">
      <c r="A467">
        <v>466</v>
      </c>
      <c r="B467">
        <v>152</v>
      </c>
      <c r="C467">
        <v>43</v>
      </c>
      <c r="D467" t="s">
        <v>48</v>
      </c>
      <c r="E467" t="s">
        <v>389</v>
      </c>
      <c r="F467" t="s">
        <v>151</v>
      </c>
      <c r="G467" t="s">
        <v>137</v>
      </c>
      <c r="H467" t="s">
        <v>393</v>
      </c>
      <c r="I467" t="s">
        <v>51</v>
      </c>
      <c r="J467">
        <v>199.2912</v>
      </c>
      <c r="K467" t="s">
        <v>5</v>
      </c>
    </row>
    <row r="468" spans="1:11" x14ac:dyDescent="0.3">
      <c r="A468">
        <v>467</v>
      </c>
      <c r="B468">
        <v>65</v>
      </c>
      <c r="C468">
        <v>10</v>
      </c>
      <c r="D468" t="s">
        <v>84</v>
      </c>
      <c r="E468" t="s">
        <v>41</v>
      </c>
      <c r="F468" t="s">
        <v>135</v>
      </c>
      <c r="G468" t="s">
        <v>380</v>
      </c>
      <c r="I468" t="s">
        <v>47</v>
      </c>
      <c r="J468">
        <v>233.59800000000001</v>
      </c>
      <c r="K468" t="s">
        <v>5</v>
      </c>
    </row>
    <row r="469" spans="1:11" x14ac:dyDescent="0.3">
      <c r="A469">
        <v>468</v>
      </c>
      <c r="B469">
        <v>23</v>
      </c>
      <c r="C469">
        <v>13</v>
      </c>
      <c r="D469" t="s">
        <v>75</v>
      </c>
      <c r="E469" t="s">
        <v>392</v>
      </c>
      <c r="F469" t="s">
        <v>145</v>
      </c>
      <c r="G469" t="s">
        <v>381</v>
      </c>
      <c r="H469" t="s">
        <v>390</v>
      </c>
      <c r="I469" t="s">
        <v>396</v>
      </c>
      <c r="J469">
        <v>-203.86930000000001</v>
      </c>
      <c r="K469" t="s">
        <v>5</v>
      </c>
    </row>
    <row r="470" spans="1:11" x14ac:dyDescent="0.3">
      <c r="A470">
        <v>469</v>
      </c>
      <c r="B470">
        <v>90</v>
      </c>
      <c r="C470">
        <v>4</v>
      </c>
      <c r="D470" t="s">
        <v>65</v>
      </c>
      <c r="E470" t="s">
        <v>41</v>
      </c>
      <c r="F470" t="s">
        <v>53</v>
      </c>
      <c r="G470" t="s">
        <v>280</v>
      </c>
      <c r="H470" t="s">
        <v>13</v>
      </c>
      <c r="I470" t="s">
        <v>51</v>
      </c>
      <c r="J470">
        <v>994.31970000000001</v>
      </c>
      <c r="K470" t="s">
        <v>5</v>
      </c>
    </row>
    <row r="471" spans="1:11" x14ac:dyDescent="0.3">
      <c r="A471">
        <v>470</v>
      </c>
      <c r="B471">
        <v>100</v>
      </c>
      <c r="C471">
        <v>50</v>
      </c>
      <c r="D471" t="s">
        <v>126</v>
      </c>
      <c r="E471" t="s">
        <v>392</v>
      </c>
      <c r="F471" t="s">
        <v>57</v>
      </c>
      <c r="G471" t="s">
        <v>74</v>
      </c>
      <c r="H471" t="s">
        <v>14</v>
      </c>
      <c r="I471" t="s">
        <v>55</v>
      </c>
      <c r="J471">
        <v>183.8295</v>
      </c>
      <c r="K471" t="s">
        <v>3</v>
      </c>
    </row>
    <row r="472" spans="1:11" x14ac:dyDescent="0.3">
      <c r="A472">
        <v>471</v>
      </c>
      <c r="B472">
        <v>136</v>
      </c>
      <c r="C472">
        <v>38</v>
      </c>
      <c r="D472" t="s">
        <v>48</v>
      </c>
      <c r="E472" t="s">
        <v>389</v>
      </c>
      <c r="F472" t="s">
        <v>73</v>
      </c>
      <c r="G472" t="s">
        <v>254</v>
      </c>
      <c r="H472" t="s">
        <v>6</v>
      </c>
      <c r="I472" t="s">
        <v>36</v>
      </c>
      <c r="J472">
        <v>272.73950000000002</v>
      </c>
      <c r="K472" t="s">
        <v>7</v>
      </c>
    </row>
    <row r="473" spans="1:11" x14ac:dyDescent="0.3">
      <c r="A473">
        <v>472</v>
      </c>
      <c r="B473">
        <v>161</v>
      </c>
      <c r="C473">
        <v>11</v>
      </c>
      <c r="D473" t="s">
        <v>188</v>
      </c>
      <c r="E473" t="s">
        <v>29</v>
      </c>
      <c r="F473" t="s">
        <v>135</v>
      </c>
      <c r="G473" t="s">
        <v>382</v>
      </c>
      <c r="H473" t="s">
        <v>393</v>
      </c>
      <c r="I473" t="s">
        <v>36</v>
      </c>
      <c r="J473">
        <v>679.79880000000003</v>
      </c>
      <c r="K473" t="s">
        <v>3</v>
      </c>
    </row>
    <row r="474" spans="1:11" x14ac:dyDescent="0.3">
      <c r="A474">
        <v>473</v>
      </c>
      <c r="B474">
        <v>21</v>
      </c>
      <c r="C474">
        <v>20</v>
      </c>
      <c r="D474" t="s">
        <v>113</v>
      </c>
      <c r="E474" t="s">
        <v>41</v>
      </c>
      <c r="F474" t="s">
        <v>38</v>
      </c>
      <c r="G474" t="s">
        <v>228</v>
      </c>
      <c r="I474" t="s">
        <v>47</v>
      </c>
      <c r="J474">
        <v>-90.849299999999999</v>
      </c>
      <c r="K474" t="s">
        <v>391</v>
      </c>
    </row>
    <row r="475" spans="1:11" x14ac:dyDescent="0.3">
      <c r="A475">
        <v>474</v>
      </c>
      <c r="B475">
        <v>108</v>
      </c>
      <c r="C475">
        <v>90</v>
      </c>
      <c r="D475" t="s">
        <v>60</v>
      </c>
      <c r="E475" t="s">
        <v>392</v>
      </c>
      <c r="F475" t="s">
        <v>116</v>
      </c>
      <c r="G475" t="s">
        <v>231</v>
      </c>
      <c r="H475" t="s">
        <v>13</v>
      </c>
      <c r="I475" t="s">
        <v>55</v>
      </c>
      <c r="J475">
        <v>739.26850000000002</v>
      </c>
      <c r="K475" t="s">
        <v>3</v>
      </c>
    </row>
    <row r="476" spans="1:11" x14ac:dyDescent="0.3">
      <c r="A476">
        <v>475</v>
      </c>
      <c r="B476">
        <v>36</v>
      </c>
      <c r="C476">
        <v>5</v>
      </c>
      <c r="D476" t="s">
        <v>185</v>
      </c>
      <c r="E476" t="s">
        <v>41</v>
      </c>
      <c r="F476" t="s">
        <v>160</v>
      </c>
      <c r="G476" t="s">
        <v>240</v>
      </c>
      <c r="H476" t="s">
        <v>390</v>
      </c>
      <c r="I476" t="s">
        <v>40</v>
      </c>
      <c r="J476">
        <v>932.18939999999998</v>
      </c>
      <c r="K476" t="s">
        <v>3</v>
      </c>
    </row>
    <row r="477" spans="1:11" x14ac:dyDescent="0.3">
      <c r="A477">
        <v>476</v>
      </c>
      <c r="B477">
        <v>104</v>
      </c>
      <c r="C477">
        <v>32</v>
      </c>
      <c r="D477" t="s">
        <v>211</v>
      </c>
      <c r="E477" t="s">
        <v>29</v>
      </c>
      <c r="F477" t="s">
        <v>61</v>
      </c>
      <c r="G477" t="s">
        <v>383</v>
      </c>
      <c r="H477" t="s">
        <v>6</v>
      </c>
      <c r="I477" t="s">
        <v>402</v>
      </c>
      <c r="J477">
        <v>-197.6069</v>
      </c>
      <c r="K477" t="s">
        <v>391</v>
      </c>
    </row>
    <row r="478" spans="1:11" x14ac:dyDescent="0.3">
      <c r="A478">
        <v>477</v>
      </c>
      <c r="B478">
        <v>165</v>
      </c>
      <c r="C478">
        <v>35</v>
      </c>
      <c r="D478" t="s">
        <v>96</v>
      </c>
      <c r="E478" t="s">
        <v>29</v>
      </c>
      <c r="F478" t="s">
        <v>85</v>
      </c>
      <c r="G478" t="s">
        <v>384</v>
      </c>
      <c r="H478" t="s">
        <v>390</v>
      </c>
      <c r="I478" t="s">
        <v>400</v>
      </c>
      <c r="J478">
        <v>867.15509999999995</v>
      </c>
      <c r="K478" t="s">
        <v>5</v>
      </c>
    </row>
    <row r="479" spans="1:11" x14ac:dyDescent="0.3">
      <c r="A479">
        <v>478</v>
      </c>
      <c r="B479">
        <v>143</v>
      </c>
      <c r="C479">
        <v>102</v>
      </c>
      <c r="D479" t="s">
        <v>149</v>
      </c>
      <c r="E479" t="s">
        <v>392</v>
      </c>
      <c r="F479" t="s">
        <v>107</v>
      </c>
      <c r="G479" t="s">
        <v>385</v>
      </c>
      <c r="H479" t="s">
        <v>390</v>
      </c>
      <c r="I479" t="s">
        <v>398</v>
      </c>
      <c r="J479">
        <v>413.34269999999998</v>
      </c>
      <c r="K479" t="s">
        <v>5</v>
      </c>
    </row>
    <row r="480" spans="1:11" x14ac:dyDescent="0.3">
      <c r="A480">
        <v>479</v>
      </c>
      <c r="B480">
        <v>117</v>
      </c>
      <c r="C480">
        <v>123</v>
      </c>
      <c r="D480" t="s">
        <v>91</v>
      </c>
      <c r="E480" t="s">
        <v>41</v>
      </c>
      <c r="F480" t="s">
        <v>116</v>
      </c>
      <c r="G480" t="s">
        <v>386</v>
      </c>
      <c r="I480" t="s">
        <v>40</v>
      </c>
      <c r="J480">
        <v>-64.125900000000001</v>
      </c>
      <c r="K480" t="s">
        <v>3</v>
      </c>
    </row>
    <row r="481" spans="1:11" x14ac:dyDescent="0.3">
      <c r="A481">
        <v>480</v>
      </c>
      <c r="B481">
        <v>154</v>
      </c>
      <c r="C481">
        <v>15</v>
      </c>
      <c r="D481" t="s">
        <v>93</v>
      </c>
      <c r="E481" t="s">
        <v>41</v>
      </c>
      <c r="F481" t="s">
        <v>45</v>
      </c>
      <c r="G481" t="s">
        <v>279</v>
      </c>
      <c r="I481" t="s">
        <v>32</v>
      </c>
      <c r="J481">
        <v>637.53819999999996</v>
      </c>
      <c r="K481" t="s">
        <v>7</v>
      </c>
    </row>
    <row r="482" spans="1:11" x14ac:dyDescent="0.3">
      <c r="A482">
        <v>481</v>
      </c>
      <c r="B482">
        <v>183</v>
      </c>
      <c r="C482">
        <v>80</v>
      </c>
      <c r="D482" t="s">
        <v>109</v>
      </c>
      <c r="E482" t="s">
        <v>389</v>
      </c>
      <c r="F482" t="s">
        <v>145</v>
      </c>
      <c r="G482" t="s">
        <v>267</v>
      </c>
      <c r="H482" t="s">
        <v>14</v>
      </c>
      <c r="I482" t="s">
        <v>64</v>
      </c>
      <c r="J482">
        <v>96.795100000000005</v>
      </c>
      <c r="K482" t="s">
        <v>5</v>
      </c>
    </row>
    <row r="483" spans="1:11" x14ac:dyDescent="0.3">
      <c r="A483">
        <v>482</v>
      </c>
      <c r="B483">
        <v>88</v>
      </c>
      <c r="C483">
        <v>65</v>
      </c>
      <c r="D483" t="s">
        <v>84</v>
      </c>
      <c r="E483" t="s">
        <v>29</v>
      </c>
      <c r="F483" t="s">
        <v>107</v>
      </c>
      <c r="G483" t="s">
        <v>153</v>
      </c>
      <c r="H483" t="s">
        <v>6</v>
      </c>
      <c r="I483" t="s">
        <v>399</v>
      </c>
      <c r="J483">
        <v>809.76949999999999</v>
      </c>
      <c r="K483" t="s">
        <v>3</v>
      </c>
    </row>
    <row r="484" spans="1:11" x14ac:dyDescent="0.3">
      <c r="A484">
        <v>483</v>
      </c>
      <c r="B484">
        <v>62</v>
      </c>
      <c r="C484">
        <v>112</v>
      </c>
      <c r="D484" t="s">
        <v>179</v>
      </c>
      <c r="E484" t="s">
        <v>41</v>
      </c>
      <c r="F484" t="s">
        <v>66</v>
      </c>
      <c r="G484" t="s">
        <v>219</v>
      </c>
      <c r="H484" t="s">
        <v>390</v>
      </c>
      <c r="I484" t="s">
        <v>51</v>
      </c>
      <c r="J484">
        <v>694.23749999999995</v>
      </c>
      <c r="K484" t="s">
        <v>3</v>
      </c>
    </row>
    <row r="485" spans="1:11" x14ac:dyDescent="0.3">
      <c r="A485">
        <v>484</v>
      </c>
      <c r="B485">
        <v>190</v>
      </c>
      <c r="C485">
        <v>75</v>
      </c>
      <c r="D485" t="s">
        <v>244</v>
      </c>
      <c r="E485" t="s">
        <v>392</v>
      </c>
      <c r="F485" t="s">
        <v>131</v>
      </c>
      <c r="G485" t="s">
        <v>241</v>
      </c>
      <c r="H485" t="s">
        <v>390</v>
      </c>
      <c r="I485" t="s">
        <v>401</v>
      </c>
      <c r="J485">
        <v>564.91980000000001</v>
      </c>
      <c r="K485" t="s">
        <v>5</v>
      </c>
    </row>
    <row r="486" spans="1:11" x14ac:dyDescent="0.3">
      <c r="A486">
        <v>485</v>
      </c>
      <c r="B486">
        <v>63</v>
      </c>
      <c r="C486">
        <v>11</v>
      </c>
      <c r="D486" t="s">
        <v>126</v>
      </c>
      <c r="E486" t="s">
        <v>29</v>
      </c>
      <c r="F486" t="s">
        <v>151</v>
      </c>
      <c r="G486" t="s">
        <v>353</v>
      </c>
      <c r="H486" t="s">
        <v>14</v>
      </c>
      <c r="I486" t="s">
        <v>55</v>
      </c>
      <c r="J486">
        <v>-47.7149</v>
      </c>
      <c r="K486" t="s">
        <v>391</v>
      </c>
    </row>
    <row r="487" spans="1:11" x14ac:dyDescent="0.3">
      <c r="A487">
        <v>486</v>
      </c>
      <c r="B487">
        <v>119</v>
      </c>
      <c r="C487">
        <v>106</v>
      </c>
      <c r="D487" t="s">
        <v>191</v>
      </c>
      <c r="E487" t="s">
        <v>41</v>
      </c>
      <c r="F487" t="s">
        <v>151</v>
      </c>
      <c r="G487" t="s">
        <v>387</v>
      </c>
      <c r="H487" t="s">
        <v>395</v>
      </c>
      <c r="I487" t="s">
        <v>51</v>
      </c>
      <c r="J487">
        <v>33.0214</v>
      </c>
      <c r="K487" t="s">
        <v>3</v>
      </c>
    </row>
    <row r="488" spans="1:11" x14ac:dyDescent="0.3">
      <c r="A488">
        <v>487</v>
      </c>
      <c r="B488">
        <v>191</v>
      </c>
      <c r="C488">
        <v>73</v>
      </c>
      <c r="D488" t="s">
        <v>149</v>
      </c>
      <c r="E488" t="s">
        <v>29</v>
      </c>
      <c r="F488" t="s">
        <v>111</v>
      </c>
      <c r="G488" t="s">
        <v>388</v>
      </c>
      <c r="I488" t="s">
        <v>40</v>
      </c>
      <c r="J488">
        <v>128.6146</v>
      </c>
      <c r="K488" t="s">
        <v>391</v>
      </c>
    </row>
    <row r="489" spans="1:11" x14ac:dyDescent="0.3">
      <c r="A489">
        <v>488</v>
      </c>
      <c r="B489">
        <v>11</v>
      </c>
      <c r="C489">
        <v>133</v>
      </c>
      <c r="D489" t="s">
        <v>70</v>
      </c>
      <c r="E489" t="s">
        <v>29</v>
      </c>
      <c r="F489" t="s">
        <v>160</v>
      </c>
      <c r="G489" t="s">
        <v>357</v>
      </c>
      <c r="H489" t="s">
        <v>395</v>
      </c>
      <c r="I489" t="s">
        <v>400</v>
      </c>
      <c r="J489">
        <v>700.40809999999999</v>
      </c>
      <c r="K489" t="s">
        <v>7</v>
      </c>
    </row>
    <row r="490" spans="1:11" x14ac:dyDescent="0.3">
      <c r="A490">
        <v>489</v>
      </c>
      <c r="B490">
        <v>25</v>
      </c>
      <c r="C490">
        <v>80</v>
      </c>
      <c r="D490" t="s">
        <v>81</v>
      </c>
      <c r="E490" t="s">
        <v>29</v>
      </c>
      <c r="F490" t="s">
        <v>38</v>
      </c>
      <c r="G490" t="s">
        <v>367</v>
      </c>
      <c r="H490" t="s">
        <v>393</v>
      </c>
      <c r="I490" t="s">
        <v>400</v>
      </c>
      <c r="J490">
        <v>19.865100000000002</v>
      </c>
      <c r="K490" t="s">
        <v>3</v>
      </c>
    </row>
    <row r="491" spans="1:11" x14ac:dyDescent="0.3">
      <c r="A491">
        <v>490</v>
      </c>
      <c r="B491">
        <v>198</v>
      </c>
      <c r="C491">
        <v>122</v>
      </c>
      <c r="D491" t="s">
        <v>139</v>
      </c>
      <c r="E491" t="s">
        <v>29</v>
      </c>
      <c r="F491" t="s">
        <v>151</v>
      </c>
      <c r="G491" t="s">
        <v>221</v>
      </c>
      <c r="H491" t="s">
        <v>13</v>
      </c>
      <c r="I491" t="s">
        <v>55</v>
      </c>
      <c r="J491">
        <v>566.40629999999999</v>
      </c>
      <c r="K491" t="s">
        <v>5</v>
      </c>
    </row>
    <row r="492" spans="1:11" x14ac:dyDescent="0.3">
      <c r="A492">
        <v>491</v>
      </c>
      <c r="B492">
        <v>61</v>
      </c>
      <c r="C492">
        <v>13</v>
      </c>
      <c r="D492" t="s">
        <v>115</v>
      </c>
      <c r="E492" t="s">
        <v>392</v>
      </c>
      <c r="F492" t="s">
        <v>135</v>
      </c>
      <c r="G492" t="s">
        <v>382</v>
      </c>
      <c r="H492" t="s">
        <v>395</v>
      </c>
      <c r="I492" t="s">
        <v>399</v>
      </c>
      <c r="J492">
        <v>431.697</v>
      </c>
      <c r="K492" t="s">
        <v>391</v>
      </c>
    </row>
    <row r="493" spans="1:11" x14ac:dyDescent="0.3">
      <c r="A493">
        <v>492</v>
      </c>
      <c r="B493">
        <v>151</v>
      </c>
      <c r="C493">
        <v>148</v>
      </c>
      <c r="D493" t="s">
        <v>312</v>
      </c>
      <c r="E493" t="s">
        <v>41</v>
      </c>
      <c r="F493" t="s">
        <v>135</v>
      </c>
      <c r="G493" t="s">
        <v>43</v>
      </c>
      <c r="H493" t="s">
        <v>393</v>
      </c>
      <c r="I493" t="s">
        <v>398</v>
      </c>
      <c r="J493">
        <v>7.1289999999999996</v>
      </c>
      <c r="K493" t="s">
        <v>7</v>
      </c>
    </row>
    <row r="494" spans="1:11" x14ac:dyDescent="0.3">
      <c r="A494">
        <v>493</v>
      </c>
      <c r="B494">
        <v>118</v>
      </c>
      <c r="C494">
        <v>98</v>
      </c>
      <c r="D494" t="s">
        <v>191</v>
      </c>
      <c r="E494" t="s">
        <v>392</v>
      </c>
      <c r="F494" t="s">
        <v>34</v>
      </c>
      <c r="G494" t="s">
        <v>156</v>
      </c>
      <c r="H494" t="s">
        <v>395</v>
      </c>
      <c r="I494" t="s">
        <v>398</v>
      </c>
      <c r="J494">
        <v>330.77780000000001</v>
      </c>
      <c r="K494" t="s">
        <v>5</v>
      </c>
    </row>
    <row r="495" spans="1:11" x14ac:dyDescent="0.3">
      <c r="A495">
        <v>494</v>
      </c>
      <c r="B495">
        <v>170</v>
      </c>
      <c r="C495">
        <v>56</v>
      </c>
      <c r="D495" t="s">
        <v>56</v>
      </c>
      <c r="E495" t="s">
        <v>392</v>
      </c>
      <c r="F495" t="s">
        <v>73</v>
      </c>
      <c r="G495" t="s">
        <v>345</v>
      </c>
      <c r="H495" t="s">
        <v>13</v>
      </c>
      <c r="I495" t="s">
        <v>64</v>
      </c>
      <c r="J495">
        <v>144.93549999999999</v>
      </c>
      <c r="K495" t="s">
        <v>3</v>
      </c>
    </row>
    <row r="496" spans="1:11" x14ac:dyDescent="0.3">
      <c r="A496">
        <v>495</v>
      </c>
      <c r="B496">
        <v>96</v>
      </c>
      <c r="C496">
        <v>56</v>
      </c>
      <c r="D496" t="s">
        <v>101</v>
      </c>
      <c r="E496" t="s">
        <v>392</v>
      </c>
      <c r="F496" t="s">
        <v>94</v>
      </c>
      <c r="G496" t="s">
        <v>77</v>
      </c>
      <c r="H496" t="s">
        <v>390</v>
      </c>
      <c r="I496" t="s">
        <v>40</v>
      </c>
      <c r="J496">
        <v>117.8871</v>
      </c>
      <c r="K496" t="s">
        <v>3</v>
      </c>
    </row>
    <row r="497" spans="1:11" x14ac:dyDescent="0.3">
      <c r="A497">
        <v>496</v>
      </c>
      <c r="B497">
        <v>26</v>
      </c>
      <c r="C497">
        <v>124</v>
      </c>
      <c r="D497" t="s">
        <v>52</v>
      </c>
      <c r="E497" t="s">
        <v>41</v>
      </c>
      <c r="F497" t="s">
        <v>160</v>
      </c>
      <c r="G497" t="s">
        <v>358</v>
      </c>
      <c r="H497" t="s">
        <v>14</v>
      </c>
      <c r="I497" t="s">
        <v>32</v>
      </c>
      <c r="J497">
        <v>109.3057</v>
      </c>
      <c r="K497" t="s">
        <v>5</v>
      </c>
    </row>
    <row r="498" spans="1:11" x14ac:dyDescent="0.3">
      <c r="A498">
        <v>497</v>
      </c>
      <c r="B498">
        <v>185</v>
      </c>
      <c r="C498">
        <v>78</v>
      </c>
      <c r="D498" t="s">
        <v>28</v>
      </c>
      <c r="E498" t="s">
        <v>41</v>
      </c>
      <c r="F498" t="s">
        <v>116</v>
      </c>
      <c r="G498" t="s">
        <v>277</v>
      </c>
      <c r="H498" t="s">
        <v>6</v>
      </c>
      <c r="I498" t="s">
        <v>398</v>
      </c>
      <c r="J498">
        <v>890.50909999999999</v>
      </c>
      <c r="K498" t="s">
        <v>5</v>
      </c>
    </row>
    <row r="499" spans="1:11" x14ac:dyDescent="0.3">
      <c r="A499">
        <v>498</v>
      </c>
      <c r="B499">
        <v>134</v>
      </c>
      <c r="C499">
        <v>142</v>
      </c>
      <c r="D499" t="s">
        <v>75</v>
      </c>
      <c r="E499" t="s">
        <v>29</v>
      </c>
      <c r="F499" t="s">
        <v>104</v>
      </c>
      <c r="G499" t="s">
        <v>325</v>
      </c>
      <c r="H499" t="s">
        <v>6</v>
      </c>
      <c r="I499" t="s">
        <v>47</v>
      </c>
      <c r="J499">
        <v>-40.945700000000002</v>
      </c>
      <c r="K499" t="s">
        <v>5</v>
      </c>
    </row>
    <row r="500" spans="1:11" x14ac:dyDescent="0.3">
      <c r="A500">
        <v>499</v>
      </c>
      <c r="B500">
        <v>145</v>
      </c>
      <c r="C500">
        <v>91</v>
      </c>
      <c r="D500" t="s">
        <v>84</v>
      </c>
      <c r="E500" t="s">
        <v>389</v>
      </c>
      <c r="F500" t="s">
        <v>160</v>
      </c>
      <c r="G500" t="s">
        <v>324</v>
      </c>
      <c r="H500" t="s">
        <v>6</v>
      </c>
      <c r="I500" t="s">
        <v>400</v>
      </c>
      <c r="J500">
        <v>504.67149999999998</v>
      </c>
      <c r="K500" t="s">
        <v>3</v>
      </c>
    </row>
    <row r="501" spans="1:11" x14ac:dyDescent="0.3">
      <c r="A501">
        <v>500</v>
      </c>
      <c r="B501">
        <v>168</v>
      </c>
      <c r="C501">
        <v>72</v>
      </c>
      <c r="D501" t="s">
        <v>70</v>
      </c>
      <c r="E501" t="s">
        <v>392</v>
      </c>
      <c r="F501" t="s">
        <v>45</v>
      </c>
      <c r="G501" t="s">
        <v>362</v>
      </c>
      <c r="I501" t="s">
        <v>64</v>
      </c>
      <c r="J501">
        <v>513.72630000000004</v>
      </c>
      <c r="K501" t="s">
        <v>391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
  <sheetViews>
    <sheetView workbookViewId="0"/>
  </sheetViews>
  <sheetFormatPr defaultRowHeight="14.4" x14ac:dyDescent="0.3"/>
  <cols>
    <col min="1" max="1" width="9.33203125" bestFit="1" customWidth="1"/>
    <col min="2" max="2" width="17.6640625" bestFit="1" customWidth="1"/>
    <col min="3" max="3" width="26.6640625" bestFit="1" customWidth="1"/>
    <col min="4" max="4" width="17.6640625" customWidth="1"/>
    <col min="5" max="5" width="9" bestFit="1" customWidth="1"/>
  </cols>
  <sheetData>
    <row r="1" spans="1:6" x14ac:dyDescent="0.3">
      <c r="A1" s="9" t="s">
        <v>20</v>
      </c>
      <c r="B1" s="9" t="s">
        <v>403</v>
      </c>
      <c r="C1" s="9" t="s">
        <v>404</v>
      </c>
      <c r="D1" s="9" t="s">
        <v>405</v>
      </c>
      <c r="E1" s="9" t="s">
        <v>406</v>
      </c>
      <c r="F1" s="9" t="s">
        <v>407</v>
      </c>
    </row>
    <row r="2" spans="1:6" x14ac:dyDescent="0.3">
      <c r="A2">
        <v>1</v>
      </c>
      <c r="B2" t="s">
        <v>408</v>
      </c>
      <c r="C2" t="s">
        <v>409</v>
      </c>
      <c r="D2" t="s">
        <v>410</v>
      </c>
      <c r="E2" t="s">
        <v>3</v>
      </c>
      <c r="F2" t="s">
        <v>411</v>
      </c>
    </row>
    <row r="3" spans="1:6" x14ac:dyDescent="0.3">
      <c r="A3">
        <v>2</v>
      </c>
      <c r="B3" t="s">
        <v>412</v>
      </c>
      <c r="C3" t="s">
        <v>413</v>
      </c>
      <c r="D3" t="s">
        <v>414</v>
      </c>
      <c r="E3" t="s">
        <v>7</v>
      </c>
      <c r="F3" t="s">
        <v>411</v>
      </c>
    </row>
    <row r="4" spans="1:6" x14ac:dyDescent="0.3">
      <c r="A4">
        <v>3</v>
      </c>
      <c r="B4" t="s">
        <v>415</v>
      </c>
      <c r="C4" t="s">
        <v>416</v>
      </c>
      <c r="D4" t="s">
        <v>417</v>
      </c>
      <c r="E4" t="s">
        <v>5</v>
      </c>
      <c r="F4" t="s">
        <v>411</v>
      </c>
    </row>
    <row r="5" spans="1:6" x14ac:dyDescent="0.3">
      <c r="A5">
        <v>4</v>
      </c>
      <c r="B5" t="s">
        <v>418</v>
      </c>
      <c r="C5" t="s">
        <v>419</v>
      </c>
      <c r="D5" t="s">
        <v>420</v>
      </c>
      <c r="E5" t="s">
        <v>3</v>
      </c>
      <c r="F5" t="s">
        <v>411</v>
      </c>
    </row>
    <row r="6" spans="1:6" x14ac:dyDescent="0.3">
      <c r="A6">
        <v>5</v>
      </c>
      <c r="B6" t="s">
        <v>421</v>
      </c>
      <c r="C6" t="s">
        <v>422</v>
      </c>
      <c r="D6" t="s">
        <v>423</v>
      </c>
      <c r="E6" t="s">
        <v>7</v>
      </c>
      <c r="F6" t="s">
        <v>411</v>
      </c>
    </row>
    <row r="7" spans="1:6" x14ac:dyDescent="0.3">
      <c r="A7">
        <v>6</v>
      </c>
      <c r="B7" t="s">
        <v>424</v>
      </c>
      <c r="C7" t="s">
        <v>425</v>
      </c>
      <c r="D7" t="s">
        <v>426</v>
      </c>
      <c r="E7" t="s">
        <v>3</v>
      </c>
      <c r="F7" t="s">
        <v>411</v>
      </c>
    </row>
    <row r="8" spans="1:6" x14ac:dyDescent="0.3">
      <c r="A8">
        <v>7</v>
      </c>
      <c r="B8" t="s">
        <v>427</v>
      </c>
      <c r="C8" t="s">
        <v>428</v>
      </c>
      <c r="D8" t="s">
        <v>429</v>
      </c>
      <c r="E8" t="s">
        <v>5</v>
      </c>
      <c r="F8" t="s">
        <v>411</v>
      </c>
    </row>
    <row r="9" spans="1:6" x14ac:dyDescent="0.3">
      <c r="A9">
        <v>8</v>
      </c>
      <c r="B9" t="s">
        <v>430</v>
      </c>
      <c r="C9" t="s">
        <v>431</v>
      </c>
      <c r="D9" t="s">
        <v>432</v>
      </c>
      <c r="E9" t="s">
        <v>5</v>
      </c>
      <c r="F9" t="s">
        <v>411</v>
      </c>
    </row>
    <row r="10" spans="1:6" x14ac:dyDescent="0.3">
      <c r="A10">
        <v>9</v>
      </c>
      <c r="B10" t="s">
        <v>433</v>
      </c>
      <c r="C10" t="s">
        <v>434</v>
      </c>
      <c r="D10" t="s">
        <v>435</v>
      </c>
      <c r="E10" t="s">
        <v>7</v>
      </c>
      <c r="F10" t="s">
        <v>411</v>
      </c>
    </row>
    <row r="11" spans="1:6" x14ac:dyDescent="0.3">
      <c r="A11">
        <v>10</v>
      </c>
      <c r="B11" t="s">
        <v>436</v>
      </c>
      <c r="C11" t="s">
        <v>437</v>
      </c>
      <c r="D11" t="s">
        <v>438</v>
      </c>
      <c r="E11" t="s">
        <v>5</v>
      </c>
      <c r="F11" t="s">
        <v>411</v>
      </c>
    </row>
    <row r="12" spans="1:6" x14ac:dyDescent="0.3">
      <c r="A12">
        <v>11</v>
      </c>
      <c r="B12" t="s">
        <v>439</v>
      </c>
      <c r="C12" t="s">
        <v>440</v>
      </c>
      <c r="D12" t="s">
        <v>441</v>
      </c>
      <c r="E12" t="s">
        <v>7</v>
      </c>
      <c r="F12" t="s">
        <v>411</v>
      </c>
    </row>
    <row r="13" spans="1:6" x14ac:dyDescent="0.3">
      <c r="A13">
        <v>12</v>
      </c>
      <c r="B13" t="s">
        <v>442</v>
      </c>
      <c r="C13" t="s">
        <v>443</v>
      </c>
      <c r="D13" t="s">
        <v>444</v>
      </c>
      <c r="E13" t="s">
        <v>7</v>
      </c>
      <c r="F13" t="s">
        <v>411</v>
      </c>
    </row>
    <row r="14" spans="1:6" x14ac:dyDescent="0.3">
      <c r="A14">
        <v>13</v>
      </c>
      <c r="B14" t="s">
        <v>445</v>
      </c>
      <c r="C14" t="s">
        <v>446</v>
      </c>
      <c r="D14" t="s">
        <v>447</v>
      </c>
      <c r="E14" t="s">
        <v>7</v>
      </c>
      <c r="F14" t="s">
        <v>411</v>
      </c>
    </row>
    <row r="15" spans="1:6" x14ac:dyDescent="0.3">
      <c r="A15">
        <v>14</v>
      </c>
      <c r="B15" t="s">
        <v>448</v>
      </c>
      <c r="C15" t="s">
        <v>449</v>
      </c>
      <c r="D15" t="s">
        <v>450</v>
      </c>
      <c r="E15" t="s">
        <v>5</v>
      </c>
      <c r="F15" t="s">
        <v>411</v>
      </c>
    </row>
    <row r="16" spans="1:6" x14ac:dyDescent="0.3">
      <c r="A16">
        <v>15</v>
      </c>
      <c r="B16" t="s">
        <v>451</v>
      </c>
      <c r="C16" t="s">
        <v>452</v>
      </c>
      <c r="D16" t="s">
        <v>453</v>
      </c>
      <c r="E16" t="s">
        <v>7</v>
      </c>
      <c r="F16" t="s">
        <v>411</v>
      </c>
    </row>
    <row r="17" spans="1:6" x14ac:dyDescent="0.3">
      <c r="A17">
        <v>16</v>
      </c>
      <c r="B17" t="s">
        <v>454</v>
      </c>
      <c r="C17" t="s">
        <v>455</v>
      </c>
      <c r="D17" t="s">
        <v>456</v>
      </c>
      <c r="E17" t="s">
        <v>7</v>
      </c>
      <c r="F17" t="s">
        <v>411</v>
      </c>
    </row>
    <row r="18" spans="1:6" x14ac:dyDescent="0.3">
      <c r="A18">
        <v>17</v>
      </c>
      <c r="B18" t="s">
        <v>457</v>
      </c>
      <c r="C18" t="s">
        <v>458</v>
      </c>
      <c r="D18" t="s">
        <v>459</v>
      </c>
      <c r="E18" t="s">
        <v>7</v>
      </c>
      <c r="F18" t="s">
        <v>411</v>
      </c>
    </row>
    <row r="19" spans="1:6" x14ac:dyDescent="0.3">
      <c r="A19">
        <v>18</v>
      </c>
      <c r="B19" t="s">
        <v>460</v>
      </c>
      <c r="C19" t="s">
        <v>461</v>
      </c>
      <c r="D19" t="s">
        <v>462</v>
      </c>
      <c r="E19" t="s">
        <v>5</v>
      </c>
      <c r="F19" t="s">
        <v>411</v>
      </c>
    </row>
    <row r="20" spans="1:6" x14ac:dyDescent="0.3">
      <c r="A20">
        <v>19</v>
      </c>
      <c r="B20" t="s">
        <v>463</v>
      </c>
      <c r="C20" t="s">
        <v>464</v>
      </c>
      <c r="D20" t="s">
        <v>465</v>
      </c>
      <c r="E20" t="s">
        <v>3</v>
      </c>
      <c r="F20" t="s">
        <v>411</v>
      </c>
    </row>
    <row r="21" spans="1:6" x14ac:dyDescent="0.3">
      <c r="A21">
        <v>20</v>
      </c>
      <c r="B21" t="s">
        <v>466</v>
      </c>
      <c r="C21" t="s">
        <v>467</v>
      </c>
      <c r="D21" t="s">
        <v>468</v>
      </c>
      <c r="E21" t="s">
        <v>3</v>
      </c>
      <c r="F21" t="s">
        <v>411</v>
      </c>
    </row>
    <row r="22" spans="1:6" x14ac:dyDescent="0.3">
      <c r="A22">
        <v>21</v>
      </c>
      <c r="B22" t="s">
        <v>469</v>
      </c>
      <c r="C22" t="s">
        <v>470</v>
      </c>
      <c r="D22" t="s">
        <v>471</v>
      </c>
      <c r="E22" t="s">
        <v>3</v>
      </c>
      <c r="F22" t="s">
        <v>411</v>
      </c>
    </row>
    <row r="23" spans="1:6" x14ac:dyDescent="0.3">
      <c r="A23">
        <v>22</v>
      </c>
      <c r="B23" t="s">
        <v>472</v>
      </c>
      <c r="C23" t="s">
        <v>473</v>
      </c>
      <c r="D23" t="s">
        <v>474</v>
      </c>
      <c r="E23" t="s">
        <v>3</v>
      </c>
      <c r="F23" t="s">
        <v>411</v>
      </c>
    </row>
    <row r="24" spans="1:6" x14ac:dyDescent="0.3">
      <c r="A24">
        <v>23</v>
      </c>
      <c r="B24" t="s">
        <v>475</v>
      </c>
      <c r="C24" t="s">
        <v>476</v>
      </c>
      <c r="D24" t="s">
        <v>477</v>
      </c>
      <c r="E24" t="s">
        <v>7</v>
      </c>
      <c r="F24" t="s">
        <v>411</v>
      </c>
    </row>
    <row r="25" spans="1:6" x14ac:dyDescent="0.3">
      <c r="A25">
        <v>24</v>
      </c>
      <c r="B25" t="s">
        <v>478</v>
      </c>
      <c r="C25" t="s">
        <v>479</v>
      </c>
      <c r="D25" t="s">
        <v>480</v>
      </c>
      <c r="E25" t="s">
        <v>3</v>
      </c>
      <c r="F25" t="s">
        <v>411</v>
      </c>
    </row>
    <row r="26" spans="1:6" x14ac:dyDescent="0.3">
      <c r="A26">
        <v>25</v>
      </c>
      <c r="B26" t="s">
        <v>481</v>
      </c>
      <c r="C26" t="s">
        <v>482</v>
      </c>
      <c r="D26" t="s">
        <v>483</v>
      </c>
      <c r="E26" t="s">
        <v>7</v>
      </c>
      <c r="F26" t="s">
        <v>411</v>
      </c>
    </row>
    <row r="27" spans="1:6" x14ac:dyDescent="0.3">
      <c r="A27">
        <v>26</v>
      </c>
      <c r="B27" t="s">
        <v>484</v>
      </c>
      <c r="C27" t="s">
        <v>485</v>
      </c>
      <c r="D27" t="s">
        <v>486</v>
      </c>
      <c r="E27" t="s">
        <v>5</v>
      </c>
      <c r="F27" t="s">
        <v>411</v>
      </c>
    </row>
    <row r="28" spans="1:6" x14ac:dyDescent="0.3">
      <c r="A28">
        <v>27</v>
      </c>
      <c r="B28" t="s">
        <v>487</v>
      </c>
      <c r="C28" t="s">
        <v>488</v>
      </c>
      <c r="D28" t="s">
        <v>489</v>
      </c>
      <c r="E28" t="s">
        <v>7</v>
      </c>
      <c r="F28" t="s">
        <v>411</v>
      </c>
    </row>
    <row r="29" spans="1:6" x14ac:dyDescent="0.3">
      <c r="A29">
        <v>28</v>
      </c>
      <c r="B29" t="s">
        <v>490</v>
      </c>
      <c r="C29" t="s">
        <v>491</v>
      </c>
      <c r="D29" t="s">
        <v>492</v>
      </c>
      <c r="E29" t="s">
        <v>5</v>
      </c>
      <c r="F29" t="s">
        <v>411</v>
      </c>
    </row>
    <row r="30" spans="1:6" x14ac:dyDescent="0.3">
      <c r="A30">
        <v>29</v>
      </c>
      <c r="B30" t="s">
        <v>493</v>
      </c>
      <c r="C30" t="s">
        <v>494</v>
      </c>
      <c r="D30" t="s">
        <v>495</v>
      </c>
      <c r="E30" t="s">
        <v>3</v>
      </c>
      <c r="F30" t="s">
        <v>411</v>
      </c>
    </row>
    <row r="31" spans="1:6" x14ac:dyDescent="0.3">
      <c r="A31">
        <v>30</v>
      </c>
      <c r="B31" t="s">
        <v>496</v>
      </c>
      <c r="C31" t="s">
        <v>497</v>
      </c>
      <c r="D31" t="s">
        <v>498</v>
      </c>
      <c r="E31" t="s">
        <v>5</v>
      </c>
      <c r="F31" t="s">
        <v>411</v>
      </c>
    </row>
    <row r="32" spans="1:6" x14ac:dyDescent="0.3">
      <c r="A32">
        <v>31</v>
      </c>
      <c r="B32" t="s">
        <v>499</v>
      </c>
      <c r="C32" t="s">
        <v>500</v>
      </c>
      <c r="D32" t="s">
        <v>501</v>
      </c>
      <c r="E32" t="s">
        <v>3</v>
      </c>
      <c r="F32" t="s">
        <v>411</v>
      </c>
    </row>
    <row r="33" spans="1:6" x14ac:dyDescent="0.3">
      <c r="A33">
        <v>32</v>
      </c>
      <c r="B33" t="s">
        <v>502</v>
      </c>
      <c r="C33" t="s">
        <v>503</v>
      </c>
      <c r="D33" t="s">
        <v>504</v>
      </c>
      <c r="E33" t="s">
        <v>3</v>
      </c>
      <c r="F33" t="s">
        <v>411</v>
      </c>
    </row>
    <row r="34" spans="1:6" x14ac:dyDescent="0.3">
      <c r="A34">
        <v>33</v>
      </c>
      <c r="B34" t="s">
        <v>505</v>
      </c>
      <c r="C34" t="s">
        <v>506</v>
      </c>
      <c r="D34" t="s">
        <v>507</v>
      </c>
      <c r="E34" t="s">
        <v>3</v>
      </c>
      <c r="F34" t="s">
        <v>411</v>
      </c>
    </row>
    <row r="35" spans="1:6" x14ac:dyDescent="0.3">
      <c r="A35">
        <v>34</v>
      </c>
      <c r="B35" t="s">
        <v>508</v>
      </c>
      <c r="C35" t="s">
        <v>509</v>
      </c>
      <c r="D35" t="s">
        <v>510</v>
      </c>
      <c r="E35" t="s">
        <v>7</v>
      </c>
      <c r="F35" t="s">
        <v>411</v>
      </c>
    </row>
    <row r="36" spans="1:6" x14ac:dyDescent="0.3">
      <c r="A36">
        <v>35</v>
      </c>
      <c r="B36" t="s">
        <v>511</v>
      </c>
      <c r="C36" t="s">
        <v>512</v>
      </c>
      <c r="D36" t="s">
        <v>513</v>
      </c>
      <c r="E36" t="s">
        <v>7</v>
      </c>
      <c r="F36" t="s">
        <v>411</v>
      </c>
    </row>
    <row r="37" spans="1:6" x14ac:dyDescent="0.3">
      <c r="A37">
        <v>36</v>
      </c>
      <c r="B37" t="s">
        <v>514</v>
      </c>
      <c r="C37" t="s">
        <v>515</v>
      </c>
      <c r="D37" t="s">
        <v>516</v>
      </c>
      <c r="E37" t="s">
        <v>3</v>
      </c>
      <c r="F37" t="s">
        <v>411</v>
      </c>
    </row>
    <row r="38" spans="1:6" x14ac:dyDescent="0.3">
      <c r="A38">
        <v>37</v>
      </c>
      <c r="B38" t="s">
        <v>517</v>
      </c>
      <c r="C38" t="s">
        <v>518</v>
      </c>
      <c r="D38" t="s">
        <v>519</v>
      </c>
      <c r="E38" t="s">
        <v>5</v>
      </c>
      <c r="F38" t="s">
        <v>411</v>
      </c>
    </row>
    <row r="39" spans="1:6" x14ac:dyDescent="0.3">
      <c r="A39">
        <v>38</v>
      </c>
      <c r="B39" t="s">
        <v>520</v>
      </c>
      <c r="C39" t="s">
        <v>521</v>
      </c>
      <c r="D39" t="s">
        <v>522</v>
      </c>
      <c r="E39" t="s">
        <v>3</v>
      </c>
      <c r="F39" t="s">
        <v>411</v>
      </c>
    </row>
    <row r="40" spans="1:6" x14ac:dyDescent="0.3">
      <c r="A40">
        <v>39</v>
      </c>
      <c r="B40" t="s">
        <v>523</v>
      </c>
      <c r="C40" t="s">
        <v>524</v>
      </c>
      <c r="D40" t="s">
        <v>525</v>
      </c>
      <c r="E40" t="s">
        <v>5</v>
      </c>
      <c r="F40" t="s">
        <v>411</v>
      </c>
    </row>
    <row r="41" spans="1:6" x14ac:dyDescent="0.3">
      <c r="A41">
        <v>40</v>
      </c>
      <c r="B41" t="s">
        <v>526</v>
      </c>
      <c r="C41" t="s">
        <v>527</v>
      </c>
      <c r="D41" t="s">
        <v>528</v>
      </c>
      <c r="E41" t="s">
        <v>3</v>
      </c>
      <c r="F41" t="s">
        <v>411</v>
      </c>
    </row>
    <row r="42" spans="1:6" x14ac:dyDescent="0.3">
      <c r="A42">
        <v>41</v>
      </c>
      <c r="B42" t="s">
        <v>529</v>
      </c>
      <c r="C42" t="s">
        <v>530</v>
      </c>
      <c r="D42" t="s">
        <v>531</v>
      </c>
      <c r="E42" t="s">
        <v>3</v>
      </c>
      <c r="F42" t="s">
        <v>411</v>
      </c>
    </row>
    <row r="43" spans="1:6" x14ac:dyDescent="0.3">
      <c r="A43">
        <v>42</v>
      </c>
      <c r="B43" t="s">
        <v>532</v>
      </c>
      <c r="C43" t="s">
        <v>533</v>
      </c>
      <c r="D43" t="s">
        <v>534</v>
      </c>
      <c r="E43" t="s">
        <v>5</v>
      </c>
      <c r="F43" t="s">
        <v>411</v>
      </c>
    </row>
    <row r="44" spans="1:6" x14ac:dyDescent="0.3">
      <c r="A44">
        <v>43</v>
      </c>
      <c r="B44" t="s">
        <v>535</v>
      </c>
      <c r="C44" t="s">
        <v>536</v>
      </c>
      <c r="D44" t="s">
        <v>537</v>
      </c>
      <c r="E44" t="s">
        <v>3</v>
      </c>
      <c r="F44" t="s">
        <v>411</v>
      </c>
    </row>
    <row r="45" spans="1:6" x14ac:dyDescent="0.3">
      <c r="A45">
        <v>44</v>
      </c>
      <c r="B45" t="s">
        <v>538</v>
      </c>
      <c r="C45" t="s">
        <v>539</v>
      </c>
      <c r="D45" t="s">
        <v>540</v>
      </c>
      <c r="E45" t="s">
        <v>3</v>
      </c>
      <c r="F45" t="s">
        <v>411</v>
      </c>
    </row>
    <row r="46" spans="1:6" x14ac:dyDescent="0.3">
      <c r="A46">
        <v>45</v>
      </c>
      <c r="B46" t="s">
        <v>541</v>
      </c>
      <c r="C46" t="s">
        <v>542</v>
      </c>
      <c r="D46" t="s">
        <v>543</v>
      </c>
      <c r="E46" t="s">
        <v>3</v>
      </c>
      <c r="F46" t="s">
        <v>411</v>
      </c>
    </row>
    <row r="47" spans="1:6" x14ac:dyDescent="0.3">
      <c r="A47">
        <v>46</v>
      </c>
      <c r="B47" t="s">
        <v>544</v>
      </c>
      <c r="C47" t="s">
        <v>545</v>
      </c>
      <c r="D47" t="s">
        <v>546</v>
      </c>
      <c r="E47" t="s">
        <v>5</v>
      </c>
      <c r="F47" t="s">
        <v>411</v>
      </c>
    </row>
    <row r="48" spans="1:6" x14ac:dyDescent="0.3">
      <c r="A48">
        <v>47</v>
      </c>
      <c r="B48" t="s">
        <v>547</v>
      </c>
      <c r="C48" t="s">
        <v>548</v>
      </c>
      <c r="D48" t="s">
        <v>549</v>
      </c>
      <c r="E48" t="s">
        <v>7</v>
      </c>
      <c r="F48" t="s">
        <v>411</v>
      </c>
    </row>
    <row r="49" spans="1:6" x14ac:dyDescent="0.3">
      <c r="A49">
        <v>48</v>
      </c>
      <c r="B49" t="s">
        <v>550</v>
      </c>
      <c r="C49" t="s">
        <v>551</v>
      </c>
      <c r="D49" t="s">
        <v>552</v>
      </c>
      <c r="E49" t="s">
        <v>3</v>
      </c>
      <c r="F49" t="s">
        <v>411</v>
      </c>
    </row>
    <row r="50" spans="1:6" x14ac:dyDescent="0.3">
      <c r="A50">
        <v>49</v>
      </c>
      <c r="B50" t="s">
        <v>553</v>
      </c>
      <c r="C50" t="s">
        <v>554</v>
      </c>
      <c r="D50" t="s">
        <v>555</v>
      </c>
      <c r="E50" t="s">
        <v>5</v>
      </c>
      <c r="F50" t="s">
        <v>411</v>
      </c>
    </row>
    <row r="51" spans="1:6" x14ac:dyDescent="0.3">
      <c r="A51">
        <v>50</v>
      </c>
      <c r="B51" t="s">
        <v>556</v>
      </c>
      <c r="C51" t="s">
        <v>557</v>
      </c>
      <c r="D51" t="s">
        <v>558</v>
      </c>
      <c r="E51" t="s">
        <v>3</v>
      </c>
      <c r="F51" t="s">
        <v>411</v>
      </c>
    </row>
    <row r="52" spans="1:6" x14ac:dyDescent="0.3">
      <c r="A52">
        <v>51</v>
      </c>
      <c r="B52" t="s">
        <v>559</v>
      </c>
      <c r="C52" t="s">
        <v>560</v>
      </c>
      <c r="D52" t="s">
        <v>561</v>
      </c>
      <c r="E52" t="s">
        <v>7</v>
      </c>
      <c r="F52" t="s">
        <v>411</v>
      </c>
    </row>
    <row r="53" spans="1:6" x14ac:dyDescent="0.3">
      <c r="A53">
        <v>52</v>
      </c>
      <c r="B53" t="s">
        <v>562</v>
      </c>
      <c r="C53" t="s">
        <v>563</v>
      </c>
      <c r="D53" t="s">
        <v>564</v>
      </c>
      <c r="E53" t="s">
        <v>3</v>
      </c>
      <c r="F53" t="s">
        <v>411</v>
      </c>
    </row>
    <row r="54" spans="1:6" x14ac:dyDescent="0.3">
      <c r="A54">
        <v>53</v>
      </c>
      <c r="B54" t="s">
        <v>565</v>
      </c>
      <c r="C54" t="s">
        <v>566</v>
      </c>
      <c r="D54" t="s">
        <v>567</v>
      </c>
      <c r="E54" t="s">
        <v>5</v>
      </c>
      <c r="F54" t="s">
        <v>411</v>
      </c>
    </row>
    <row r="55" spans="1:6" x14ac:dyDescent="0.3">
      <c r="A55">
        <v>54</v>
      </c>
      <c r="B55" t="s">
        <v>568</v>
      </c>
      <c r="C55" t="s">
        <v>569</v>
      </c>
      <c r="D55" t="s">
        <v>570</v>
      </c>
      <c r="E55" t="s">
        <v>3</v>
      </c>
      <c r="F55" t="s">
        <v>411</v>
      </c>
    </row>
    <row r="56" spans="1:6" x14ac:dyDescent="0.3">
      <c r="A56">
        <v>55</v>
      </c>
      <c r="B56" t="s">
        <v>571</v>
      </c>
      <c r="C56" t="s">
        <v>572</v>
      </c>
      <c r="D56" t="s">
        <v>573</v>
      </c>
      <c r="E56" t="s">
        <v>5</v>
      </c>
      <c r="F56" t="s">
        <v>411</v>
      </c>
    </row>
    <row r="57" spans="1:6" x14ac:dyDescent="0.3">
      <c r="A57">
        <v>56</v>
      </c>
      <c r="B57" t="s">
        <v>574</v>
      </c>
      <c r="C57" t="s">
        <v>575</v>
      </c>
      <c r="D57" t="s">
        <v>576</v>
      </c>
      <c r="E57" t="s">
        <v>7</v>
      </c>
      <c r="F57" t="s">
        <v>411</v>
      </c>
    </row>
    <row r="58" spans="1:6" x14ac:dyDescent="0.3">
      <c r="A58">
        <v>57</v>
      </c>
      <c r="B58" t="s">
        <v>577</v>
      </c>
      <c r="C58" t="s">
        <v>578</v>
      </c>
      <c r="D58" t="s">
        <v>579</v>
      </c>
      <c r="E58" t="s">
        <v>7</v>
      </c>
      <c r="F58" t="s">
        <v>411</v>
      </c>
    </row>
    <row r="59" spans="1:6" x14ac:dyDescent="0.3">
      <c r="A59">
        <v>58</v>
      </c>
      <c r="B59" t="s">
        <v>580</v>
      </c>
      <c r="C59" t="s">
        <v>581</v>
      </c>
      <c r="D59" t="s">
        <v>582</v>
      </c>
      <c r="E59" t="s">
        <v>7</v>
      </c>
      <c r="F59" t="s">
        <v>411</v>
      </c>
    </row>
    <row r="60" spans="1:6" x14ac:dyDescent="0.3">
      <c r="A60">
        <v>59</v>
      </c>
      <c r="B60" t="s">
        <v>583</v>
      </c>
      <c r="C60" t="s">
        <v>584</v>
      </c>
      <c r="D60" t="s">
        <v>585</v>
      </c>
      <c r="E60" t="s">
        <v>7</v>
      </c>
      <c r="F60" t="s">
        <v>411</v>
      </c>
    </row>
    <row r="61" spans="1:6" x14ac:dyDescent="0.3">
      <c r="A61">
        <v>60</v>
      </c>
      <c r="B61" t="s">
        <v>586</v>
      </c>
      <c r="C61" t="s">
        <v>587</v>
      </c>
      <c r="D61" t="s">
        <v>588</v>
      </c>
      <c r="E61" t="s">
        <v>3</v>
      </c>
      <c r="F61" t="s">
        <v>411</v>
      </c>
    </row>
    <row r="62" spans="1:6" x14ac:dyDescent="0.3">
      <c r="A62">
        <v>61</v>
      </c>
      <c r="B62" t="s">
        <v>589</v>
      </c>
      <c r="C62" t="s">
        <v>590</v>
      </c>
      <c r="D62" t="s">
        <v>591</v>
      </c>
      <c r="E62" t="s">
        <v>7</v>
      </c>
      <c r="F62" t="s">
        <v>411</v>
      </c>
    </row>
    <row r="63" spans="1:6" x14ac:dyDescent="0.3">
      <c r="A63">
        <v>62</v>
      </c>
      <c r="B63" t="s">
        <v>592</v>
      </c>
      <c r="C63" t="s">
        <v>593</v>
      </c>
      <c r="D63" t="s">
        <v>594</v>
      </c>
      <c r="E63" t="s">
        <v>3</v>
      </c>
      <c r="F63" t="s">
        <v>411</v>
      </c>
    </row>
    <row r="64" spans="1:6" x14ac:dyDescent="0.3">
      <c r="A64">
        <v>63</v>
      </c>
      <c r="B64" t="s">
        <v>595</v>
      </c>
      <c r="C64" t="s">
        <v>596</v>
      </c>
      <c r="D64" t="s">
        <v>597</v>
      </c>
      <c r="E64" t="s">
        <v>5</v>
      </c>
      <c r="F64" t="s">
        <v>411</v>
      </c>
    </row>
    <row r="65" spans="1:6" x14ac:dyDescent="0.3">
      <c r="A65">
        <v>64</v>
      </c>
      <c r="B65" t="s">
        <v>598</v>
      </c>
      <c r="C65" t="s">
        <v>599</v>
      </c>
      <c r="D65" t="s">
        <v>600</v>
      </c>
      <c r="E65" t="s">
        <v>3</v>
      </c>
      <c r="F65" t="s">
        <v>411</v>
      </c>
    </row>
    <row r="66" spans="1:6" x14ac:dyDescent="0.3">
      <c r="A66">
        <v>65</v>
      </c>
      <c r="B66" t="s">
        <v>601</v>
      </c>
      <c r="C66" t="s">
        <v>602</v>
      </c>
      <c r="D66" t="s">
        <v>603</v>
      </c>
      <c r="E66" t="s">
        <v>7</v>
      </c>
      <c r="F66" t="s">
        <v>411</v>
      </c>
    </row>
    <row r="67" spans="1:6" x14ac:dyDescent="0.3">
      <c r="A67">
        <v>66</v>
      </c>
      <c r="B67" t="s">
        <v>604</v>
      </c>
      <c r="C67" t="s">
        <v>605</v>
      </c>
      <c r="D67" t="s">
        <v>606</v>
      </c>
      <c r="E67" t="s">
        <v>5</v>
      </c>
      <c r="F67" t="s">
        <v>411</v>
      </c>
    </row>
    <row r="68" spans="1:6" x14ac:dyDescent="0.3">
      <c r="A68">
        <v>67</v>
      </c>
      <c r="B68" t="s">
        <v>607</v>
      </c>
      <c r="C68" t="s">
        <v>608</v>
      </c>
      <c r="D68" t="s">
        <v>609</v>
      </c>
      <c r="E68" t="s">
        <v>7</v>
      </c>
      <c r="F68" t="s">
        <v>411</v>
      </c>
    </row>
    <row r="69" spans="1:6" x14ac:dyDescent="0.3">
      <c r="A69">
        <v>68</v>
      </c>
      <c r="B69" t="s">
        <v>610</v>
      </c>
      <c r="C69" t="s">
        <v>611</v>
      </c>
      <c r="D69" t="s">
        <v>612</v>
      </c>
      <c r="E69" t="s">
        <v>5</v>
      </c>
      <c r="F69" t="s">
        <v>411</v>
      </c>
    </row>
    <row r="70" spans="1:6" x14ac:dyDescent="0.3">
      <c r="A70">
        <v>69</v>
      </c>
      <c r="B70" t="s">
        <v>613</v>
      </c>
      <c r="C70" t="s">
        <v>614</v>
      </c>
      <c r="D70" t="s">
        <v>615</v>
      </c>
      <c r="E70" t="s">
        <v>5</v>
      </c>
      <c r="F70" t="s">
        <v>411</v>
      </c>
    </row>
    <row r="71" spans="1:6" x14ac:dyDescent="0.3">
      <c r="A71">
        <v>70</v>
      </c>
      <c r="B71" t="s">
        <v>616</v>
      </c>
      <c r="C71" t="s">
        <v>617</v>
      </c>
      <c r="D71" t="s">
        <v>618</v>
      </c>
      <c r="E71" t="s">
        <v>5</v>
      </c>
      <c r="F71" t="s">
        <v>411</v>
      </c>
    </row>
    <row r="72" spans="1:6" x14ac:dyDescent="0.3">
      <c r="A72">
        <v>71</v>
      </c>
      <c r="B72" t="s">
        <v>619</v>
      </c>
      <c r="C72" t="s">
        <v>620</v>
      </c>
      <c r="D72" t="s">
        <v>621</v>
      </c>
      <c r="E72" t="s">
        <v>7</v>
      </c>
      <c r="F72" t="s">
        <v>411</v>
      </c>
    </row>
    <row r="73" spans="1:6" x14ac:dyDescent="0.3">
      <c r="A73">
        <v>72</v>
      </c>
      <c r="B73" t="s">
        <v>622</v>
      </c>
      <c r="C73" t="s">
        <v>623</v>
      </c>
      <c r="D73" t="s">
        <v>624</v>
      </c>
      <c r="E73" t="s">
        <v>3</v>
      </c>
      <c r="F73" t="s">
        <v>411</v>
      </c>
    </row>
    <row r="74" spans="1:6" x14ac:dyDescent="0.3">
      <c r="A74">
        <v>73</v>
      </c>
      <c r="B74" t="s">
        <v>625</v>
      </c>
      <c r="C74" t="s">
        <v>626</v>
      </c>
      <c r="D74" t="s">
        <v>627</v>
      </c>
      <c r="E74" t="s">
        <v>7</v>
      </c>
      <c r="F74" t="s">
        <v>411</v>
      </c>
    </row>
    <row r="75" spans="1:6" x14ac:dyDescent="0.3">
      <c r="A75">
        <v>74</v>
      </c>
      <c r="B75" t="s">
        <v>628</v>
      </c>
      <c r="C75" t="s">
        <v>629</v>
      </c>
      <c r="D75" t="s">
        <v>630</v>
      </c>
      <c r="E75" t="s">
        <v>5</v>
      </c>
      <c r="F75" t="s">
        <v>411</v>
      </c>
    </row>
    <row r="76" spans="1:6" x14ac:dyDescent="0.3">
      <c r="A76">
        <v>75</v>
      </c>
      <c r="B76" t="s">
        <v>631</v>
      </c>
      <c r="C76" t="s">
        <v>632</v>
      </c>
      <c r="D76" t="s">
        <v>633</v>
      </c>
      <c r="E76" t="s">
        <v>7</v>
      </c>
      <c r="F76" t="s">
        <v>411</v>
      </c>
    </row>
    <row r="77" spans="1:6" x14ac:dyDescent="0.3">
      <c r="A77">
        <v>76</v>
      </c>
      <c r="B77" t="s">
        <v>634</v>
      </c>
      <c r="C77" t="s">
        <v>635</v>
      </c>
      <c r="D77" t="s">
        <v>636</v>
      </c>
      <c r="E77" t="s">
        <v>5</v>
      </c>
      <c r="F77" t="s">
        <v>411</v>
      </c>
    </row>
    <row r="78" spans="1:6" x14ac:dyDescent="0.3">
      <c r="A78">
        <v>77</v>
      </c>
      <c r="B78" t="s">
        <v>637</v>
      </c>
      <c r="C78" t="s">
        <v>638</v>
      </c>
      <c r="D78" t="s">
        <v>639</v>
      </c>
      <c r="E78" t="s">
        <v>7</v>
      </c>
      <c r="F78" t="s">
        <v>411</v>
      </c>
    </row>
    <row r="79" spans="1:6" x14ac:dyDescent="0.3">
      <c r="A79">
        <v>78</v>
      </c>
      <c r="B79" t="s">
        <v>640</v>
      </c>
      <c r="C79" t="s">
        <v>641</v>
      </c>
      <c r="D79" t="s">
        <v>642</v>
      </c>
      <c r="E79" t="s">
        <v>7</v>
      </c>
      <c r="F79" t="s">
        <v>411</v>
      </c>
    </row>
    <row r="80" spans="1:6" x14ac:dyDescent="0.3">
      <c r="A80">
        <v>79</v>
      </c>
      <c r="B80" t="s">
        <v>643</v>
      </c>
      <c r="C80" t="s">
        <v>644</v>
      </c>
      <c r="D80" t="s">
        <v>645</v>
      </c>
      <c r="E80" t="s">
        <v>7</v>
      </c>
      <c r="F80" t="s">
        <v>411</v>
      </c>
    </row>
    <row r="81" spans="1:6" x14ac:dyDescent="0.3">
      <c r="A81">
        <v>80</v>
      </c>
      <c r="B81" t="s">
        <v>646</v>
      </c>
      <c r="C81" t="s">
        <v>647</v>
      </c>
      <c r="D81" t="s">
        <v>648</v>
      </c>
      <c r="E81" t="s">
        <v>5</v>
      </c>
      <c r="F81" t="s">
        <v>411</v>
      </c>
    </row>
    <row r="82" spans="1:6" x14ac:dyDescent="0.3">
      <c r="A82">
        <v>81</v>
      </c>
      <c r="B82" t="s">
        <v>649</v>
      </c>
      <c r="C82" t="s">
        <v>650</v>
      </c>
      <c r="D82" t="s">
        <v>651</v>
      </c>
      <c r="E82" t="s">
        <v>5</v>
      </c>
      <c r="F82" t="s">
        <v>411</v>
      </c>
    </row>
    <row r="83" spans="1:6" x14ac:dyDescent="0.3">
      <c r="A83">
        <v>82</v>
      </c>
      <c r="B83" t="s">
        <v>652</v>
      </c>
      <c r="C83" t="s">
        <v>653</v>
      </c>
      <c r="D83" t="s">
        <v>654</v>
      </c>
      <c r="E83" t="s">
        <v>7</v>
      </c>
      <c r="F83" t="s">
        <v>411</v>
      </c>
    </row>
    <row r="84" spans="1:6" x14ac:dyDescent="0.3">
      <c r="A84">
        <v>83</v>
      </c>
      <c r="B84" t="s">
        <v>655</v>
      </c>
      <c r="C84" t="s">
        <v>656</v>
      </c>
      <c r="D84" t="s">
        <v>657</v>
      </c>
      <c r="E84" t="s">
        <v>3</v>
      </c>
      <c r="F84" t="s">
        <v>411</v>
      </c>
    </row>
    <row r="85" spans="1:6" x14ac:dyDescent="0.3">
      <c r="A85">
        <v>84</v>
      </c>
      <c r="B85" t="s">
        <v>658</v>
      </c>
      <c r="C85" t="s">
        <v>659</v>
      </c>
      <c r="D85" t="s">
        <v>660</v>
      </c>
      <c r="E85" t="s">
        <v>7</v>
      </c>
      <c r="F85" t="s">
        <v>411</v>
      </c>
    </row>
    <row r="86" spans="1:6" x14ac:dyDescent="0.3">
      <c r="A86">
        <v>85</v>
      </c>
      <c r="B86" t="s">
        <v>661</v>
      </c>
      <c r="C86" t="s">
        <v>662</v>
      </c>
      <c r="D86" t="s">
        <v>663</v>
      </c>
      <c r="E86" t="s">
        <v>7</v>
      </c>
      <c r="F86" t="s">
        <v>411</v>
      </c>
    </row>
    <row r="87" spans="1:6" x14ac:dyDescent="0.3">
      <c r="A87">
        <v>86</v>
      </c>
      <c r="B87" t="s">
        <v>664</v>
      </c>
      <c r="C87" t="s">
        <v>665</v>
      </c>
      <c r="D87" t="s">
        <v>666</v>
      </c>
      <c r="E87" t="s">
        <v>7</v>
      </c>
      <c r="F87" t="s">
        <v>411</v>
      </c>
    </row>
    <row r="88" spans="1:6" x14ac:dyDescent="0.3">
      <c r="A88">
        <v>87</v>
      </c>
      <c r="B88" t="s">
        <v>667</v>
      </c>
      <c r="C88" t="s">
        <v>668</v>
      </c>
      <c r="D88" t="s">
        <v>669</v>
      </c>
      <c r="E88" t="s">
        <v>3</v>
      </c>
      <c r="F88" t="s">
        <v>411</v>
      </c>
    </row>
    <row r="89" spans="1:6" x14ac:dyDescent="0.3">
      <c r="A89">
        <v>88</v>
      </c>
      <c r="B89" t="s">
        <v>670</v>
      </c>
      <c r="C89" t="s">
        <v>671</v>
      </c>
      <c r="D89" t="s">
        <v>672</v>
      </c>
      <c r="E89" t="s">
        <v>3</v>
      </c>
      <c r="F89" t="s">
        <v>411</v>
      </c>
    </row>
    <row r="90" spans="1:6" x14ac:dyDescent="0.3">
      <c r="A90">
        <v>89</v>
      </c>
      <c r="B90" t="s">
        <v>673</v>
      </c>
      <c r="C90" t="s">
        <v>674</v>
      </c>
      <c r="D90" t="s">
        <v>675</v>
      </c>
      <c r="E90" t="s">
        <v>7</v>
      </c>
      <c r="F90" t="s">
        <v>411</v>
      </c>
    </row>
    <row r="91" spans="1:6" x14ac:dyDescent="0.3">
      <c r="A91">
        <v>90</v>
      </c>
      <c r="B91" t="s">
        <v>676</v>
      </c>
      <c r="C91" t="s">
        <v>677</v>
      </c>
      <c r="D91" t="s">
        <v>678</v>
      </c>
      <c r="E91" t="s">
        <v>3</v>
      </c>
      <c r="F91" t="s">
        <v>411</v>
      </c>
    </row>
    <row r="92" spans="1:6" x14ac:dyDescent="0.3">
      <c r="A92">
        <v>91</v>
      </c>
      <c r="B92" t="s">
        <v>679</v>
      </c>
      <c r="C92" t="s">
        <v>680</v>
      </c>
      <c r="D92" t="s">
        <v>681</v>
      </c>
      <c r="E92" t="s">
        <v>7</v>
      </c>
      <c r="F92" t="s">
        <v>411</v>
      </c>
    </row>
    <row r="93" spans="1:6" x14ac:dyDescent="0.3">
      <c r="A93">
        <v>92</v>
      </c>
      <c r="B93" t="s">
        <v>682</v>
      </c>
      <c r="C93" t="s">
        <v>683</v>
      </c>
      <c r="D93" t="s">
        <v>684</v>
      </c>
      <c r="E93" t="s">
        <v>7</v>
      </c>
      <c r="F93" t="s">
        <v>411</v>
      </c>
    </row>
    <row r="94" spans="1:6" x14ac:dyDescent="0.3">
      <c r="A94">
        <v>93</v>
      </c>
      <c r="B94" t="s">
        <v>685</v>
      </c>
      <c r="C94" t="s">
        <v>686</v>
      </c>
      <c r="D94" t="s">
        <v>687</v>
      </c>
      <c r="E94" t="s">
        <v>3</v>
      </c>
      <c r="F94" t="s">
        <v>411</v>
      </c>
    </row>
    <row r="95" spans="1:6" x14ac:dyDescent="0.3">
      <c r="A95">
        <v>94</v>
      </c>
      <c r="B95" t="s">
        <v>688</v>
      </c>
      <c r="C95" t="s">
        <v>689</v>
      </c>
      <c r="D95" t="s">
        <v>690</v>
      </c>
      <c r="E95" t="s">
        <v>5</v>
      </c>
      <c r="F95" t="s">
        <v>411</v>
      </c>
    </row>
    <row r="96" spans="1:6" x14ac:dyDescent="0.3">
      <c r="A96">
        <v>95</v>
      </c>
      <c r="B96" t="s">
        <v>691</v>
      </c>
      <c r="C96" t="s">
        <v>692</v>
      </c>
      <c r="D96" t="s">
        <v>693</v>
      </c>
      <c r="E96" t="s">
        <v>5</v>
      </c>
      <c r="F96" t="s">
        <v>411</v>
      </c>
    </row>
    <row r="97" spans="1:6" x14ac:dyDescent="0.3">
      <c r="A97">
        <v>96</v>
      </c>
      <c r="B97" t="s">
        <v>694</v>
      </c>
      <c r="C97" t="s">
        <v>695</v>
      </c>
      <c r="D97" t="s">
        <v>696</v>
      </c>
      <c r="E97" t="s">
        <v>3</v>
      </c>
      <c r="F97" t="s">
        <v>411</v>
      </c>
    </row>
    <row r="98" spans="1:6" x14ac:dyDescent="0.3">
      <c r="A98">
        <v>97</v>
      </c>
      <c r="B98" t="s">
        <v>697</v>
      </c>
      <c r="C98" t="s">
        <v>698</v>
      </c>
      <c r="D98" t="s">
        <v>699</v>
      </c>
      <c r="E98" t="s">
        <v>7</v>
      </c>
      <c r="F98" t="s">
        <v>411</v>
      </c>
    </row>
    <row r="99" spans="1:6" x14ac:dyDescent="0.3">
      <c r="A99">
        <v>98</v>
      </c>
      <c r="B99" t="s">
        <v>700</v>
      </c>
      <c r="C99" t="s">
        <v>701</v>
      </c>
      <c r="D99" t="s">
        <v>702</v>
      </c>
      <c r="E99" t="s">
        <v>5</v>
      </c>
      <c r="F99" t="s">
        <v>411</v>
      </c>
    </row>
    <row r="100" spans="1:6" x14ac:dyDescent="0.3">
      <c r="A100">
        <v>99</v>
      </c>
      <c r="B100" t="s">
        <v>703</v>
      </c>
      <c r="C100" t="s">
        <v>704</v>
      </c>
      <c r="D100" t="s">
        <v>705</v>
      </c>
      <c r="E100" t="s">
        <v>5</v>
      </c>
      <c r="F100" t="s">
        <v>411</v>
      </c>
    </row>
    <row r="101" spans="1:6" x14ac:dyDescent="0.3">
      <c r="A101">
        <v>100</v>
      </c>
      <c r="B101" t="s">
        <v>706</v>
      </c>
      <c r="C101" t="s">
        <v>707</v>
      </c>
      <c r="D101" t="s">
        <v>708</v>
      </c>
      <c r="E101" t="s">
        <v>5</v>
      </c>
      <c r="F101" t="s">
        <v>411</v>
      </c>
    </row>
    <row r="102" spans="1:6" x14ac:dyDescent="0.3">
      <c r="A102">
        <v>101</v>
      </c>
      <c r="B102" t="s">
        <v>709</v>
      </c>
      <c r="C102" t="s">
        <v>710</v>
      </c>
      <c r="D102" t="s">
        <v>711</v>
      </c>
      <c r="E102" t="s">
        <v>3</v>
      </c>
      <c r="F102" t="s">
        <v>411</v>
      </c>
    </row>
    <row r="103" spans="1:6" x14ac:dyDescent="0.3">
      <c r="A103">
        <v>102</v>
      </c>
      <c r="B103" t="s">
        <v>712</v>
      </c>
      <c r="C103" t="s">
        <v>713</v>
      </c>
      <c r="D103" t="s">
        <v>714</v>
      </c>
      <c r="E103" t="s">
        <v>3</v>
      </c>
      <c r="F103" t="s">
        <v>411</v>
      </c>
    </row>
    <row r="104" spans="1:6" x14ac:dyDescent="0.3">
      <c r="A104">
        <v>103</v>
      </c>
      <c r="B104" t="s">
        <v>715</v>
      </c>
      <c r="C104" t="s">
        <v>716</v>
      </c>
      <c r="D104" t="s">
        <v>717</v>
      </c>
      <c r="E104" t="s">
        <v>3</v>
      </c>
      <c r="F104" t="s">
        <v>411</v>
      </c>
    </row>
    <row r="105" spans="1:6" x14ac:dyDescent="0.3">
      <c r="A105">
        <v>104</v>
      </c>
      <c r="B105" t="s">
        <v>718</v>
      </c>
      <c r="C105" t="s">
        <v>719</v>
      </c>
      <c r="D105" t="s">
        <v>720</v>
      </c>
      <c r="E105" t="s">
        <v>7</v>
      </c>
      <c r="F105" t="s">
        <v>411</v>
      </c>
    </row>
    <row r="106" spans="1:6" x14ac:dyDescent="0.3">
      <c r="A106">
        <v>105</v>
      </c>
      <c r="B106" t="s">
        <v>721</v>
      </c>
      <c r="C106" t="s">
        <v>722</v>
      </c>
      <c r="D106" t="s">
        <v>723</v>
      </c>
      <c r="E106" t="s">
        <v>5</v>
      </c>
      <c r="F106" t="s">
        <v>411</v>
      </c>
    </row>
    <row r="107" spans="1:6" x14ac:dyDescent="0.3">
      <c r="A107">
        <v>106</v>
      </c>
      <c r="B107" t="s">
        <v>724</v>
      </c>
      <c r="C107" t="s">
        <v>725</v>
      </c>
      <c r="D107" t="s">
        <v>726</v>
      </c>
      <c r="E107" t="s">
        <v>5</v>
      </c>
      <c r="F107" t="s">
        <v>411</v>
      </c>
    </row>
    <row r="108" spans="1:6" x14ac:dyDescent="0.3">
      <c r="A108">
        <v>107</v>
      </c>
      <c r="B108" t="s">
        <v>727</v>
      </c>
      <c r="C108" t="s">
        <v>728</v>
      </c>
      <c r="D108" t="s">
        <v>729</v>
      </c>
      <c r="E108" t="s">
        <v>5</v>
      </c>
      <c r="F108" t="s">
        <v>411</v>
      </c>
    </row>
    <row r="109" spans="1:6" x14ac:dyDescent="0.3">
      <c r="A109">
        <v>108</v>
      </c>
      <c r="B109" t="s">
        <v>730</v>
      </c>
      <c r="C109" t="s">
        <v>731</v>
      </c>
      <c r="D109" t="s">
        <v>732</v>
      </c>
      <c r="E109" t="s">
        <v>5</v>
      </c>
      <c r="F109" t="s">
        <v>411</v>
      </c>
    </row>
    <row r="110" spans="1:6" x14ac:dyDescent="0.3">
      <c r="A110">
        <v>109</v>
      </c>
      <c r="B110" t="s">
        <v>733</v>
      </c>
      <c r="C110" t="s">
        <v>734</v>
      </c>
      <c r="D110" t="s">
        <v>735</v>
      </c>
      <c r="E110" t="s">
        <v>7</v>
      </c>
      <c r="F110" t="s">
        <v>411</v>
      </c>
    </row>
    <row r="111" spans="1:6" x14ac:dyDescent="0.3">
      <c r="A111">
        <v>110</v>
      </c>
      <c r="B111" t="s">
        <v>736</v>
      </c>
      <c r="C111" t="s">
        <v>737</v>
      </c>
      <c r="D111" t="s">
        <v>738</v>
      </c>
      <c r="E111" t="s">
        <v>7</v>
      </c>
      <c r="F111" t="s">
        <v>411</v>
      </c>
    </row>
    <row r="112" spans="1:6" x14ac:dyDescent="0.3">
      <c r="A112">
        <v>111</v>
      </c>
      <c r="B112" t="s">
        <v>739</v>
      </c>
      <c r="C112" t="s">
        <v>740</v>
      </c>
      <c r="D112" t="s">
        <v>741</v>
      </c>
      <c r="E112" t="s">
        <v>3</v>
      </c>
      <c r="F112" t="s">
        <v>411</v>
      </c>
    </row>
    <row r="113" spans="1:6" x14ac:dyDescent="0.3">
      <c r="A113">
        <v>112</v>
      </c>
      <c r="B113" t="s">
        <v>742</v>
      </c>
      <c r="C113" t="s">
        <v>743</v>
      </c>
      <c r="D113" t="s">
        <v>744</v>
      </c>
      <c r="E113" t="s">
        <v>7</v>
      </c>
      <c r="F113" t="s">
        <v>411</v>
      </c>
    </row>
    <row r="114" spans="1:6" x14ac:dyDescent="0.3">
      <c r="A114">
        <v>113</v>
      </c>
      <c r="B114" t="s">
        <v>745</v>
      </c>
      <c r="C114" t="s">
        <v>746</v>
      </c>
      <c r="D114" t="s">
        <v>747</v>
      </c>
      <c r="E114" t="s">
        <v>5</v>
      </c>
      <c r="F114" t="s">
        <v>411</v>
      </c>
    </row>
    <row r="115" spans="1:6" x14ac:dyDescent="0.3">
      <c r="A115">
        <v>114</v>
      </c>
      <c r="B115" t="s">
        <v>748</v>
      </c>
      <c r="C115" t="s">
        <v>749</v>
      </c>
      <c r="D115" t="s">
        <v>750</v>
      </c>
      <c r="E115" t="s">
        <v>5</v>
      </c>
      <c r="F115" t="s">
        <v>411</v>
      </c>
    </row>
    <row r="116" spans="1:6" x14ac:dyDescent="0.3">
      <c r="A116">
        <v>115</v>
      </c>
      <c r="B116" t="s">
        <v>751</v>
      </c>
      <c r="C116" t="s">
        <v>752</v>
      </c>
      <c r="D116" t="s">
        <v>753</v>
      </c>
      <c r="E116" t="s">
        <v>5</v>
      </c>
      <c r="F116" t="s">
        <v>411</v>
      </c>
    </row>
    <row r="117" spans="1:6" x14ac:dyDescent="0.3">
      <c r="A117">
        <v>116</v>
      </c>
      <c r="B117" t="s">
        <v>754</v>
      </c>
      <c r="C117" t="s">
        <v>755</v>
      </c>
      <c r="D117" t="s">
        <v>756</v>
      </c>
      <c r="E117" t="s">
        <v>3</v>
      </c>
      <c r="F117" t="s">
        <v>411</v>
      </c>
    </row>
    <row r="118" spans="1:6" x14ac:dyDescent="0.3">
      <c r="A118">
        <v>117</v>
      </c>
      <c r="B118" t="s">
        <v>757</v>
      </c>
      <c r="C118" t="s">
        <v>758</v>
      </c>
      <c r="D118" t="s">
        <v>759</v>
      </c>
      <c r="E118" t="s">
        <v>3</v>
      </c>
      <c r="F118" t="s">
        <v>411</v>
      </c>
    </row>
    <row r="119" spans="1:6" x14ac:dyDescent="0.3">
      <c r="A119">
        <v>118</v>
      </c>
      <c r="B119" t="s">
        <v>760</v>
      </c>
      <c r="C119" t="s">
        <v>761</v>
      </c>
      <c r="D119" t="s">
        <v>762</v>
      </c>
      <c r="E119" t="s">
        <v>3</v>
      </c>
      <c r="F119" t="s">
        <v>411</v>
      </c>
    </row>
    <row r="120" spans="1:6" x14ac:dyDescent="0.3">
      <c r="A120">
        <v>119</v>
      </c>
      <c r="B120" t="s">
        <v>763</v>
      </c>
      <c r="C120" t="s">
        <v>764</v>
      </c>
      <c r="D120" t="s">
        <v>765</v>
      </c>
      <c r="E120" t="s">
        <v>7</v>
      </c>
      <c r="F120" t="s">
        <v>411</v>
      </c>
    </row>
    <row r="121" spans="1:6" x14ac:dyDescent="0.3">
      <c r="A121">
        <v>120</v>
      </c>
      <c r="B121" t="s">
        <v>766</v>
      </c>
      <c r="C121" t="s">
        <v>767</v>
      </c>
      <c r="D121" t="s">
        <v>768</v>
      </c>
      <c r="E121" t="s">
        <v>7</v>
      </c>
      <c r="F121" t="s">
        <v>411</v>
      </c>
    </row>
    <row r="122" spans="1:6" x14ac:dyDescent="0.3">
      <c r="A122">
        <v>121</v>
      </c>
      <c r="B122" t="s">
        <v>769</v>
      </c>
      <c r="C122" t="s">
        <v>770</v>
      </c>
      <c r="D122" t="s">
        <v>771</v>
      </c>
      <c r="E122" t="s">
        <v>7</v>
      </c>
      <c r="F122" t="s">
        <v>411</v>
      </c>
    </row>
    <row r="123" spans="1:6" x14ac:dyDescent="0.3">
      <c r="A123">
        <v>122</v>
      </c>
      <c r="B123" t="s">
        <v>772</v>
      </c>
      <c r="C123" t="s">
        <v>773</v>
      </c>
      <c r="D123" t="s">
        <v>774</v>
      </c>
      <c r="E123" t="s">
        <v>5</v>
      </c>
      <c r="F123" t="s">
        <v>411</v>
      </c>
    </row>
    <row r="124" spans="1:6" x14ac:dyDescent="0.3">
      <c r="A124">
        <v>123</v>
      </c>
      <c r="B124" t="s">
        <v>775</v>
      </c>
      <c r="C124" t="s">
        <v>776</v>
      </c>
      <c r="D124" t="s">
        <v>777</v>
      </c>
      <c r="E124" t="s">
        <v>7</v>
      </c>
      <c r="F124" t="s">
        <v>411</v>
      </c>
    </row>
    <row r="125" spans="1:6" x14ac:dyDescent="0.3">
      <c r="A125">
        <v>124</v>
      </c>
      <c r="B125" t="s">
        <v>778</v>
      </c>
      <c r="C125" t="s">
        <v>779</v>
      </c>
      <c r="D125" t="s">
        <v>780</v>
      </c>
      <c r="E125" t="s">
        <v>3</v>
      </c>
      <c r="F125" t="s">
        <v>411</v>
      </c>
    </row>
    <row r="126" spans="1:6" x14ac:dyDescent="0.3">
      <c r="A126">
        <v>125</v>
      </c>
      <c r="B126" t="s">
        <v>781</v>
      </c>
      <c r="C126" t="s">
        <v>782</v>
      </c>
      <c r="D126" t="s">
        <v>783</v>
      </c>
      <c r="E126" t="s">
        <v>3</v>
      </c>
      <c r="F126" t="s">
        <v>411</v>
      </c>
    </row>
    <row r="127" spans="1:6" x14ac:dyDescent="0.3">
      <c r="A127">
        <v>126</v>
      </c>
      <c r="B127" t="s">
        <v>784</v>
      </c>
      <c r="C127" t="s">
        <v>785</v>
      </c>
      <c r="D127" t="s">
        <v>786</v>
      </c>
      <c r="E127" t="s">
        <v>5</v>
      </c>
      <c r="F127" t="s">
        <v>411</v>
      </c>
    </row>
    <row r="128" spans="1:6" x14ac:dyDescent="0.3">
      <c r="A128">
        <v>127</v>
      </c>
      <c r="B128" t="s">
        <v>787</v>
      </c>
      <c r="C128" t="s">
        <v>788</v>
      </c>
      <c r="D128" t="s">
        <v>789</v>
      </c>
      <c r="E128" t="s">
        <v>5</v>
      </c>
      <c r="F128" t="s">
        <v>411</v>
      </c>
    </row>
    <row r="129" spans="1:6" x14ac:dyDescent="0.3">
      <c r="A129">
        <v>128</v>
      </c>
      <c r="B129" t="s">
        <v>790</v>
      </c>
      <c r="C129" t="s">
        <v>791</v>
      </c>
      <c r="D129" t="s">
        <v>792</v>
      </c>
      <c r="E129" t="s">
        <v>3</v>
      </c>
      <c r="F129" t="s">
        <v>411</v>
      </c>
    </row>
    <row r="130" spans="1:6" x14ac:dyDescent="0.3">
      <c r="A130">
        <v>129</v>
      </c>
      <c r="B130" t="s">
        <v>793</v>
      </c>
      <c r="C130" t="s">
        <v>794</v>
      </c>
      <c r="D130" t="s">
        <v>795</v>
      </c>
      <c r="E130" t="s">
        <v>5</v>
      </c>
      <c r="F130" t="s">
        <v>411</v>
      </c>
    </row>
    <row r="131" spans="1:6" x14ac:dyDescent="0.3">
      <c r="A131">
        <v>130</v>
      </c>
      <c r="B131" t="s">
        <v>796</v>
      </c>
      <c r="C131" t="s">
        <v>797</v>
      </c>
      <c r="D131" t="s">
        <v>798</v>
      </c>
      <c r="E131" t="s">
        <v>3</v>
      </c>
      <c r="F131" t="s">
        <v>411</v>
      </c>
    </row>
    <row r="132" spans="1:6" x14ac:dyDescent="0.3">
      <c r="A132">
        <v>131</v>
      </c>
      <c r="B132" t="s">
        <v>799</v>
      </c>
      <c r="C132" t="s">
        <v>800</v>
      </c>
      <c r="D132" t="s">
        <v>801</v>
      </c>
      <c r="E132" t="s">
        <v>3</v>
      </c>
      <c r="F132" t="s">
        <v>411</v>
      </c>
    </row>
    <row r="133" spans="1:6" x14ac:dyDescent="0.3">
      <c r="A133">
        <v>132</v>
      </c>
      <c r="B133" t="s">
        <v>802</v>
      </c>
      <c r="C133" t="s">
        <v>803</v>
      </c>
      <c r="D133" t="s">
        <v>804</v>
      </c>
      <c r="E133" t="s">
        <v>3</v>
      </c>
      <c r="F133" t="s">
        <v>411</v>
      </c>
    </row>
    <row r="134" spans="1:6" x14ac:dyDescent="0.3">
      <c r="A134">
        <v>133</v>
      </c>
      <c r="B134" t="s">
        <v>805</v>
      </c>
      <c r="C134" t="s">
        <v>806</v>
      </c>
      <c r="D134" t="s">
        <v>807</v>
      </c>
      <c r="E134" t="s">
        <v>7</v>
      </c>
      <c r="F134" t="s">
        <v>411</v>
      </c>
    </row>
    <row r="135" spans="1:6" x14ac:dyDescent="0.3">
      <c r="A135">
        <v>134</v>
      </c>
      <c r="B135" t="s">
        <v>808</v>
      </c>
      <c r="C135" t="s">
        <v>809</v>
      </c>
      <c r="D135" t="s">
        <v>810</v>
      </c>
      <c r="E135" t="s">
        <v>5</v>
      </c>
      <c r="F135" t="s">
        <v>411</v>
      </c>
    </row>
    <row r="136" spans="1:6" x14ac:dyDescent="0.3">
      <c r="A136">
        <v>135</v>
      </c>
      <c r="B136" t="s">
        <v>811</v>
      </c>
      <c r="C136" t="s">
        <v>812</v>
      </c>
      <c r="D136" t="s">
        <v>813</v>
      </c>
      <c r="E136" t="s">
        <v>5</v>
      </c>
      <c r="F136" t="s">
        <v>411</v>
      </c>
    </row>
    <row r="137" spans="1:6" x14ac:dyDescent="0.3">
      <c r="A137">
        <v>136</v>
      </c>
      <c r="B137" t="s">
        <v>814</v>
      </c>
      <c r="C137" t="s">
        <v>815</v>
      </c>
      <c r="D137" t="s">
        <v>816</v>
      </c>
      <c r="E137" t="s">
        <v>3</v>
      </c>
      <c r="F137" t="s">
        <v>411</v>
      </c>
    </row>
    <row r="138" spans="1:6" x14ac:dyDescent="0.3">
      <c r="A138">
        <v>137</v>
      </c>
      <c r="B138" t="s">
        <v>817</v>
      </c>
      <c r="C138" t="s">
        <v>818</v>
      </c>
      <c r="D138" t="s">
        <v>819</v>
      </c>
      <c r="E138" t="s">
        <v>3</v>
      </c>
      <c r="F138" t="s">
        <v>411</v>
      </c>
    </row>
    <row r="139" spans="1:6" x14ac:dyDescent="0.3">
      <c r="A139">
        <v>138</v>
      </c>
      <c r="B139" t="s">
        <v>820</v>
      </c>
      <c r="C139" t="s">
        <v>821</v>
      </c>
      <c r="D139" t="s">
        <v>822</v>
      </c>
      <c r="E139" t="s">
        <v>7</v>
      </c>
      <c r="F139" t="s">
        <v>411</v>
      </c>
    </row>
    <row r="140" spans="1:6" x14ac:dyDescent="0.3">
      <c r="A140">
        <v>139</v>
      </c>
      <c r="B140" t="s">
        <v>823</v>
      </c>
      <c r="C140" t="s">
        <v>824</v>
      </c>
      <c r="D140" t="s">
        <v>825</v>
      </c>
      <c r="E140" t="s">
        <v>7</v>
      </c>
      <c r="F140" t="s">
        <v>411</v>
      </c>
    </row>
    <row r="141" spans="1:6" x14ac:dyDescent="0.3">
      <c r="A141">
        <v>140</v>
      </c>
      <c r="B141" t="s">
        <v>826</v>
      </c>
      <c r="C141" t="s">
        <v>827</v>
      </c>
      <c r="D141" t="s">
        <v>828</v>
      </c>
      <c r="E141" t="s">
        <v>5</v>
      </c>
      <c r="F141" t="s">
        <v>411</v>
      </c>
    </row>
    <row r="142" spans="1:6" x14ac:dyDescent="0.3">
      <c r="A142">
        <v>141</v>
      </c>
      <c r="B142" t="s">
        <v>829</v>
      </c>
      <c r="C142" t="s">
        <v>830</v>
      </c>
      <c r="D142" t="s">
        <v>831</v>
      </c>
      <c r="E142" t="s">
        <v>3</v>
      </c>
      <c r="F142" t="s">
        <v>411</v>
      </c>
    </row>
    <row r="143" spans="1:6" x14ac:dyDescent="0.3">
      <c r="A143">
        <v>142</v>
      </c>
      <c r="B143" t="s">
        <v>832</v>
      </c>
      <c r="C143" t="s">
        <v>833</v>
      </c>
      <c r="D143" t="s">
        <v>834</v>
      </c>
      <c r="E143" t="s">
        <v>3</v>
      </c>
      <c r="F143" t="s">
        <v>411</v>
      </c>
    </row>
    <row r="144" spans="1:6" x14ac:dyDescent="0.3">
      <c r="A144">
        <v>143</v>
      </c>
      <c r="B144" t="s">
        <v>835</v>
      </c>
      <c r="C144" t="s">
        <v>836</v>
      </c>
      <c r="D144" t="s">
        <v>837</v>
      </c>
      <c r="E144" t="s">
        <v>3</v>
      </c>
      <c r="F144" t="s">
        <v>411</v>
      </c>
    </row>
    <row r="145" spans="1:6" x14ac:dyDescent="0.3">
      <c r="A145">
        <v>144</v>
      </c>
      <c r="B145" t="s">
        <v>838</v>
      </c>
      <c r="C145" t="s">
        <v>839</v>
      </c>
      <c r="D145" t="s">
        <v>840</v>
      </c>
      <c r="E145" t="s">
        <v>7</v>
      </c>
      <c r="F145" t="s">
        <v>411</v>
      </c>
    </row>
    <row r="146" spans="1:6" x14ac:dyDescent="0.3">
      <c r="A146">
        <v>145</v>
      </c>
      <c r="B146" t="s">
        <v>841</v>
      </c>
      <c r="C146" t="s">
        <v>842</v>
      </c>
      <c r="D146" t="s">
        <v>843</v>
      </c>
      <c r="E146" t="s">
        <v>7</v>
      </c>
      <c r="F146" t="s">
        <v>411</v>
      </c>
    </row>
    <row r="147" spans="1:6" x14ac:dyDescent="0.3">
      <c r="A147">
        <v>146</v>
      </c>
      <c r="B147" t="s">
        <v>844</v>
      </c>
      <c r="C147" t="s">
        <v>845</v>
      </c>
      <c r="D147" t="s">
        <v>846</v>
      </c>
      <c r="E147" t="s">
        <v>5</v>
      </c>
      <c r="F147" t="s">
        <v>411</v>
      </c>
    </row>
    <row r="148" spans="1:6" x14ac:dyDescent="0.3">
      <c r="A148">
        <v>147</v>
      </c>
      <c r="B148" t="s">
        <v>847</v>
      </c>
      <c r="C148" t="s">
        <v>848</v>
      </c>
      <c r="D148" t="s">
        <v>849</v>
      </c>
      <c r="E148" t="s">
        <v>3</v>
      </c>
      <c r="F148" t="s">
        <v>411</v>
      </c>
    </row>
    <row r="149" spans="1:6" x14ac:dyDescent="0.3">
      <c r="A149">
        <v>148</v>
      </c>
      <c r="B149" t="s">
        <v>850</v>
      </c>
      <c r="C149" t="s">
        <v>851</v>
      </c>
      <c r="D149" t="s">
        <v>852</v>
      </c>
      <c r="E149" t="s">
        <v>5</v>
      </c>
      <c r="F149" t="s">
        <v>411</v>
      </c>
    </row>
    <row r="150" spans="1:6" x14ac:dyDescent="0.3">
      <c r="A150">
        <v>149</v>
      </c>
      <c r="B150" t="s">
        <v>853</v>
      </c>
      <c r="C150" t="s">
        <v>854</v>
      </c>
      <c r="D150" t="s">
        <v>855</v>
      </c>
      <c r="E150" t="s">
        <v>3</v>
      </c>
      <c r="F150" t="s">
        <v>411</v>
      </c>
    </row>
    <row r="151" spans="1:6" x14ac:dyDescent="0.3">
      <c r="A151">
        <v>150</v>
      </c>
      <c r="B151" t="s">
        <v>856</v>
      </c>
      <c r="C151" t="s">
        <v>857</v>
      </c>
      <c r="D151" t="s">
        <v>858</v>
      </c>
      <c r="E151" t="s">
        <v>5</v>
      </c>
      <c r="F151" t="s">
        <v>411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C7" sqref="C7"/>
    </sheetView>
  </sheetViews>
  <sheetFormatPr defaultRowHeight="14.4" x14ac:dyDescent="0.3"/>
  <cols>
    <col min="1" max="1" width="12.21875" bestFit="1" customWidth="1"/>
    <col min="2" max="2" width="18.6640625" bestFit="1" customWidth="1"/>
    <col min="3" max="3" width="16.6640625" style="7" bestFit="1" customWidth="1"/>
  </cols>
  <sheetData>
    <row r="1" spans="1:3" x14ac:dyDescent="0.3">
      <c r="A1" s="9" t="s">
        <v>25</v>
      </c>
      <c r="B1" s="9" t="s">
        <v>859</v>
      </c>
      <c r="C1" s="9" t="s">
        <v>860</v>
      </c>
    </row>
    <row r="2" spans="1:3" x14ac:dyDescent="0.3">
      <c r="A2" t="s">
        <v>55</v>
      </c>
      <c r="B2" t="s">
        <v>14</v>
      </c>
      <c r="C2" s="7">
        <v>50</v>
      </c>
    </row>
    <row r="3" spans="1:3" x14ac:dyDescent="0.3">
      <c r="A3" t="s">
        <v>47</v>
      </c>
      <c r="B3" t="s">
        <v>6</v>
      </c>
      <c r="C3" s="7">
        <v>400</v>
      </c>
    </row>
    <row r="4" spans="1:3" x14ac:dyDescent="0.3">
      <c r="A4" t="s">
        <v>59</v>
      </c>
      <c r="B4" t="s">
        <v>11</v>
      </c>
      <c r="C4" s="7">
        <v>150</v>
      </c>
    </row>
    <row r="5" spans="1:3" x14ac:dyDescent="0.3">
      <c r="A5" t="s">
        <v>32</v>
      </c>
      <c r="B5" t="s">
        <v>13</v>
      </c>
      <c r="C5" s="7">
        <v>500</v>
      </c>
    </row>
    <row r="6" spans="1:3" x14ac:dyDescent="0.3">
      <c r="A6" t="s">
        <v>64</v>
      </c>
      <c r="B6" t="s">
        <v>10</v>
      </c>
      <c r="C6" s="7">
        <v>25</v>
      </c>
    </row>
    <row r="7" spans="1:3" x14ac:dyDescent="0.3">
      <c r="A7" t="s">
        <v>36</v>
      </c>
      <c r="B7" t="s">
        <v>8</v>
      </c>
      <c r="C7" s="7">
        <v>300</v>
      </c>
    </row>
    <row r="8" spans="1:3" x14ac:dyDescent="0.3">
      <c r="A8" t="s">
        <v>40</v>
      </c>
      <c r="B8" t="s">
        <v>4</v>
      </c>
      <c r="C8" s="7">
        <v>200</v>
      </c>
    </row>
    <row r="9" spans="1:3" x14ac:dyDescent="0.3">
      <c r="A9" t="s">
        <v>51</v>
      </c>
      <c r="B9" t="s">
        <v>12</v>
      </c>
      <c r="C9" s="7">
        <v>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Veterinary Clinic Dashboard</vt:lpstr>
      <vt:lpstr>Data Cleaning Notes</vt:lpstr>
      <vt:lpstr>Visits_Clean</vt:lpstr>
      <vt:lpstr>Sheet2</vt:lpstr>
      <vt:lpstr>Visits Cleaned</vt:lpstr>
      <vt:lpstr>Visits</vt:lpstr>
      <vt:lpstr>Owners</vt:lpstr>
      <vt:lpstr>Charge_Reference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Sabrina J</cp:lastModifiedBy>
  <cp:revision/>
  <dcterms:created xsi:type="dcterms:W3CDTF">2026-03-29T20:59:40Z</dcterms:created>
  <dcterms:modified xsi:type="dcterms:W3CDTF">2026-05-06T23:33:49Z</dcterms:modified>
  <cp:category/>
  <cp:contentStatus/>
</cp:coreProperties>
</file>